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_Raw" sheetId="1" state="visible" r:id="rId1"/>
    <sheet name="Supplies" sheetId="2" state="visible" r:id="rId2"/>
    <sheet name="Bill_Line_Items" sheetId="3" state="visible" r:id="rId3"/>
    <sheet name="Fee_Model" sheetId="4" state="visible" r:id="rId4"/>
    <sheet name="Market_Offers" sheetId="5" state="visible" r:id="rId5"/>
    <sheet name="Scenario_Model" sheetId="6" state="visible" r:id="rId6"/>
    <sheet name="Backtest" sheetId="7" state="visible" r:id="rId7"/>
    <sheet name="Tier_Ranking" sheetId="8" state="visible" r:id="rId8"/>
    <sheet name="Recommen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%"/>
    <numFmt numFmtId="166" formatCode="#,##0.00\ &quot;€&quot;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sz val="9"/>
    </font>
    <font>
      <b val="1"/>
      <color rgb="001F4E78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166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3" fillId="3" borderId="0" pivotButton="0" quotePrefix="0" xfId="0"/>
    <xf numFmtId="0" fontId="5" fillId="0" borderId="0" pivotButton="0" quotePrefix="0" xfId="0"/>
    <xf numFmtId="0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20" customWidth="1" min="4" max="4"/>
    <col width="12" customWidth="1" min="5" max="5"/>
    <col width="12" customWidth="1" min="6" max="6"/>
    <col width="12" customWidth="1" min="7" max="7"/>
    <col width="6" customWidth="1" min="8" max="8"/>
    <col width="12" customWidth="1" min="9" max="9"/>
    <col width="9" customWidth="1" min="10" max="10"/>
    <col width="8" customWidth="1" min="11" max="11"/>
    <col width="9" customWidth="1" min="12" max="12"/>
    <col width="13" customWidth="1" min="13" max="13"/>
    <col width="13" customWidth="1" min="14" max="14"/>
    <col width="14" customWidth="1" min="15" max="15"/>
    <col width="12" customWidth="1" min="16" max="16"/>
    <col width="11" customWidth="1" min="17" max="17"/>
    <col width="11" customWidth="1" min="18" max="18"/>
    <col width="15" customWidth="1" min="19" max="19"/>
    <col width="14" customWidth="1" min="20" max="20"/>
    <col width="17" customWidth="1" min="21" max="21"/>
    <col width="8" customWidth="1" min="22" max="22"/>
    <col width="11" customWidth="1" min="23" max="23"/>
    <col width="12" customWidth="1" min="24" max="24"/>
    <col width="13" customWidth="1" min="25" max="25"/>
    <col width="10" customWidth="1" min="26" max="26"/>
    <col width="9" customWidth="1" min="27" max="27"/>
    <col width="11" customWidth="1" min="28" max="28"/>
    <col width="13" customWidth="1" min="29" max="29"/>
    <col width="13" customWidth="1" min="30" max="30"/>
    <col width="18" customWidth="1" min="31" max="31"/>
    <col width="15" customWidth="1" min="32" max="32"/>
  </cols>
  <sheetData>
    <row r="1">
      <c r="A1" s="1" t="inlineStr">
        <is>
          <t>Bills_Raw (SYNTHETIC DEMO DATA) — one row per bill, all extracted fields (source of truth from the 8 PDFs)</t>
        </is>
      </c>
    </row>
    <row r="3">
      <c r="A3" s="2" t="inlineStr">
        <is>
          <t>File</t>
        </is>
      </c>
      <c r="B3" s="2" t="inlineStr">
        <is>
          <t>Supply</t>
        </is>
      </c>
      <c r="C3" s="2" t="inlineStr">
        <is>
          <t>Provider</t>
        </is>
      </c>
      <c r="D3" s="2" t="inlineStr">
        <is>
          <t>Product</t>
        </is>
      </c>
      <c r="E3" s="2" t="inlineStr">
        <is>
          <t>Type</t>
        </is>
      </c>
      <c r="F3" s="2" t="inlineStr">
        <is>
          <t>Period start</t>
        </is>
      </c>
      <c r="G3" s="2" t="inlineStr">
        <is>
          <t>Period end</t>
        </is>
      </c>
      <c r="H3" s="2" t="inlineStr">
        <is>
          <t>Days</t>
        </is>
      </c>
      <c r="I3" s="2" t="inlineStr">
        <is>
          <t>Issue date</t>
        </is>
      </c>
      <c r="J3" s="2" t="inlineStr">
        <is>
          <t>kWh total</t>
        </is>
      </c>
      <c r="K3" s="2" t="inlineStr">
        <is>
          <t>kWh day</t>
        </is>
      </c>
      <c r="L3" s="2" t="inlineStr">
        <is>
          <t>kWh night</t>
        </is>
      </c>
      <c r="M3" s="2" t="inlineStr">
        <is>
          <t>Energy rate (day)</t>
        </is>
      </c>
      <c r="N3" s="2" t="inlineStr">
        <is>
          <t>Energy rate (night)</t>
        </is>
      </c>
      <c r="O3" s="2" t="inlineStr">
        <is>
          <t>Adj. clause rate</t>
        </is>
      </c>
      <c r="P3" s="2" t="inlineStr">
        <is>
          <t>Loyalty disc %</t>
        </is>
      </c>
      <c r="Q3" s="2" t="inlineStr">
        <is>
          <t>EN.A disc €</t>
        </is>
      </c>
      <c r="R3" s="2" t="inlineStr">
        <is>
          <t>Paygio €/mo</t>
        </is>
      </c>
      <c r="S3" s="2" t="inlineStr">
        <is>
          <t>A: Supply chgs €</t>
        </is>
      </c>
      <c r="T3" s="2" t="inlineStr">
        <is>
          <t>B: Regulated €</t>
        </is>
      </c>
      <c r="U3" s="2" t="inlineStr">
        <is>
          <t>Γ: Supplementary €</t>
        </is>
      </c>
      <c r="V3" s="2" t="inlineStr">
        <is>
          <t>EFK €</t>
        </is>
      </c>
      <c r="W3" s="2" t="inlineStr">
        <is>
          <t>Special 5‰ €</t>
        </is>
      </c>
      <c r="X3" s="2" t="inlineStr">
        <is>
          <t>Late interest €</t>
        </is>
      </c>
      <c r="Y3" s="2" t="inlineStr">
        <is>
          <t>E: Municipal €</t>
        </is>
      </c>
      <c r="Z3" s="2" t="inlineStr">
        <is>
          <t>ΣΤ: ERT €</t>
        </is>
      </c>
      <c r="AA3" s="2" t="inlineStr">
        <is>
          <t>VAT €</t>
        </is>
      </c>
      <c r="AB3" s="2" t="inlineStr">
        <is>
          <t>VAT base €</t>
        </is>
      </c>
      <c r="AC3" s="2" t="inlineStr">
        <is>
          <t>Enanti credit €</t>
        </is>
      </c>
      <c r="AD3" s="2" t="inlineStr">
        <is>
          <t>Prev. unpaid €</t>
        </is>
      </c>
      <c r="AE3" s="2" t="inlineStr">
        <is>
          <t>Current-period total €</t>
        </is>
      </c>
      <c r="AF3" s="2" t="inlineStr">
        <is>
          <t>Final payable €</t>
        </is>
      </c>
    </row>
    <row r="4">
      <c r="A4" s="3" t="inlineStr">
        <is>
          <t>demo_d1_apr</t>
        </is>
      </c>
      <c r="B4" s="3" t="inlineStr">
        <is>
          <t>D1</t>
        </is>
      </c>
      <c r="C4" s="3" t="inlineStr">
        <is>
          <t>Provider-A</t>
        </is>
      </c>
      <c r="D4" s="3" t="inlineStr">
        <is>
          <t>Night Floating (demo)</t>
        </is>
      </c>
      <c r="E4" s="3" t="inlineStr">
        <is>
          <t>clearing</t>
        </is>
      </c>
      <c r="F4" s="3" t="inlineStr">
        <is>
          <t>2026-04-01</t>
        </is>
      </c>
      <c r="G4" s="3" t="inlineStr">
        <is>
          <t>2026-04-30</t>
        </is>
      </c>
      <c r="H4" s="3" t="n">
        <v>30</v>
      </c>
      <c r="I4" s="3" t="inlineStr">
        <is>
          <t>2026-05-18</t>
        </is>
      </c>
      <c r="J4" s="3" t="n">
        <v>950</v>
      </c>
      <c r="K4" s="3" t="n">
        <v>700</v>
      </c>
      <c r="L4" s="3" t="n">
        <v>250</v>
      </c>
      <c r="M4" s="4" t="n">
        <v>0.155</v>
      </c>
      <c r="N4" s="4" t="n">
        <v>0.123</v>
      </c>
      <c r="O4" s="4" t="n"/>
      <c r="P4" s="5" t="n">
        <v>0</v>
      </c>
      <c r="Q4" s="6" t="n">
        <v>0</v>
      </c>
      <c r="R4" s="6" t="n">
        <v>5</v>
      </c>
      <c r="S4" s="6" t="n">
        <v>144.25</v>
      </c>
      <c r="T4" s="6" t="n">
        <v>54.81</v>
      </c>
      <c r="U4" s="6" t="n">
        <v>2.79</v>
      </c>
      <c r="V4" s="6" t="n">
        <v>2.09</v>
      </c>
      <c r="W4" s="6" t="n">
        <v>0.7</v>
      </c>
      <c r="X4" s="6" t="n">
        <v>0</v>
      </c>
      <c r="Y4" s="6" t="n">
        <v>46</v>
      </c>
      <c r="Z4" s="6" t="n">
        <v>2.96</v>
      </c>
      <c r="AA4" s="6" t="n">
        <v>12.07</v>
      </c>
      <c r="AB4" s="6" t="n">
        <v>201.15</v>
      </c>
      <c r="AC4" s="6" t="n">
        <v>0</v>
      </c>
      <c r="AD4" s="6" t="n">
        <v>0</v>
      </c>
      <c r="AE4" s="6" t="n">
        <v>262.88</v>
      </c>
      <c r="AF4" s="6" t="n">
        <v>262.88</v>
      </c>
    </row>
    <row r="5">
      <c r="A5" s="3" t="inlineStr">
        <is>
          <t>demo_d1_may</t>
        </is>
      </c>
      <c r="B5" s="3" t="inlineStr">
        <is>
          <t>D1</t>
        </is>
      </c>
      <c r="C5" s="3" t="inlineStr">
        <is>
          <t>Provider-A</t>
        </is>
      </c>
      <c r="D5" s="3" t="inlineStr">
        <is>
          <t>Night Floating (demo)</t>
        </is>
      </c>
      <c r="E5" s="3" t="inlineStr">
        <is>
          <t>clearing</t>
        </is>
      </c>
      <c r="F5" s="3" t="inlineStr">
        <is>
          <t>2026-05-01</t>
        </is>
      </c>
      <c r="G5" s="3" t="inlineStr">
        <is>
          <t>2026-05-31</t>
        </is>
      </c>
      <c r="H5" s="3" t="n">
        <v>31</v>
      </c>
      <c r="I5" s="3" t="inlineStr">
        <is>
          <t>2026-06-18</t>
        </is>
      </c>
      <c r="J5" s="3" t="n">
        <v>1000</v>
      </c>
      <c r="K5" s="3" t="n">
        <v>740</v>
      </c>
      <c r="L5" s="3" t="n">
        <v>260</v>
      </c>
      <c r="M5" s="4" t="n">
        <v>0.155</v>
      </c>
      <c r="N5" s="4" t="n">
        <v>0.123</v>
      </c>
      <c r="O5" s="4" t="n"/>
      <c r="P5" s="5" t="n">
        <v>0</v>
      </c>
      <c r="Q5" s="6" t="n">
        <v>0</v>
      </c>
      <c r="R5" s="6" t="n">
        <v>5</v>
      </c>
      <c r="S5" s="6" t="n">
        <v>151.68</v>
      </c>
      <c r="T5" s="6" t="n">
        <v>57.35</v>
      </c>
      <c r="U5" s="6" t="n">
        <v>2.93</v>
      </c>
      <c r="V5" s="6" t="n">
        <v>2.2</v>
      </c>
      <c r="W5" s="6" t="n">
        <v>0.73</v>
      </c>
      <c r="X5" s="6" t="n">
        <v>0</v>
      </c>
      <c r="Y5" s="6" t="n">
        <v>47.5</v>
      </c>
      <c r="Z5" s="6" t="n">
        <v>3.06</v>
      </c>
      <c r="AA5" s="6" t="n">
        <v>12.67</v>
      </c>
      <c r="AB5" s="6" t="n">
        <v>211.23</v>
      </c>
      <c r="AC5" s="6" t="n">
        <v>0</v>
      </c>
      <c r="AD5" s="6" t="n">
        <v>0</v>
      </c>
      <c r="AE5" s="6" t="n">
        <v>275.19</v>
      </c>
      <c r="AF5" s="6" t="n">
        <v>275.19</v>
      </c>
    </row>
    <row r="6">
      <c r="A6" s="3" t="inlineStr">
        <is>
          <t>demo_d2_apr</t>
        </is>
      </c>
      <c r="B6" s="3" t="inlineStr">
        <is>
          <t>D2</t>
        </is>
      </c>
      <c r="C6" s="3" t="inlineStr">
        <is>
          <t>Provider-B</t>
        </is>
      </c>
      <c r="D6" s="3" t="inlineStr">
        <is>
          <t>Home Floating (demo)</t>
        </is>
      </c>
      <c r="E6" s="3" t="inlineStr">
        <is>
          <t>clearing</t>
        </is>
      </c>
      <c r="F6" s="3" t="inlineStr">
        <is>
          <t>2026-04-01</t>
        </is>
      </c>
      <c r="G6" s="3" t="inlineStr">
        <is>
          <t>2026-04-30</t>
        </is>
      </c>
      <c r="H6" s="3" t="n">
        <v>30</v>
      </c>
      <c r="I6" s="3" t="inlineStr">
        <is>
          <t>2026-05-20</t>
        </is>
      </c>
      <c r="J6" s="3" t="n">
        <v>285</v>
      </c>
      <c r="K6" s="3" t="n">
        <v>285</v>
      </c>
      <c r="L6" s="3" t="n">
        <v>0</v>
      </c>
      <c r="M6" s="4" t="n">
        <v>0.157</v>
      </c>
      <c r="N6" s="4" t="n"/>
      <c r="O6" s="4" t="n"/>
      <c r="P6" s="5" t="n">
        <v>0</v>
      </c>
      <c r="Q6" s="6" t="n">
        <v>0</v>
      </c>
      <c r="R6" s="6" t="n">
        <v>5.5</v>
      </c>
      <c r="S6" s="6" t="n">
        <v>50.25</v>
      </c>
      <c r="T6" s="6" t="n">
        <v>15.17</v>
      </c>
      <c r="U6" s="6" t="n">
        <v>0.85</v>
      </c>
      <c r="V6" s="6" t="n">
        <v>0.63</v>
      </c>
      <c r="W6" s="6" t="n">
        <v>0.22</v>
      </c>
      <c r="X6" s="6" t="n">
        <v>0</v>
      </c>
      <c r="Y6" s="6" t="n">
        <v>5</v>
      </c>
      <c r="Z6" s="6" t="n">
        <v>2.96</v>
      </c>
      <c r="AA6" s="6" t="n">
        <v>3.96</v>
      </c>
      <c r="AB6" s="6" t="n">
        <v>66.05</v>
      </c>
      <c r="AC6" s="6" t="n">
        <v>0</v>
      </c>
      <c r="AD6" s="6" t="n">
        <v>0</v>
      </c>
      <c r="AE6" s="6" t="n">
        <v>78.19</v>
      </c>
      <c r="AF6" s="6" t="n">
        <v>78.19</v>
      </c>
    </row>
    <row r="7">
      <c r="A7" s="3" t="inlineStr">
        <is>
          <t>demo_d2_may</t>
        </is>
      </c>
      <c r="B7" s="3" t="inlineStr">
        <is>
          <t>D2</t>
        </is>
      </c>
      <c r="C7" s="3" t="inlineStr">
        <is>
          <t>Provider-B</t>
        </is>
      </c>
      <c r="D7" s="3" t="inlineStr">
        <is>
          <t>Home Floating (demo)</t>
        </is>
      </c>
      <c r="E7" s="3" t="inlineStr">
        <is>
          <t>clearing</t>
        </is>
      </c>
      <c r="F7" s="3" t="inlineStr">
        <is>
          <t>2026-05-01</t>
        </is>
      </c>
      <c r="G7" s="3" t="inlineStr">
        <is>
          <t>2026-05-31</t>
        </is>
      </c>
      <c r="H7" s="3" t="n">
        <v>31</v>
      </c>
      <c r="I7" s="3" t="inlineStr">
        <is>
          <t>2026-06-20</t>
        </is>
      </c>
      <c r="J7" s="3" t="n">
        <v>300</v>
      </c>
      <c r="K7" s="3" t="n">
        <v>300</v>
      </c>
      <c r="L7" s="3" t="n">
        <v>0</v>
      </c>
      <c r="M7" s="4" t="n">
        <v>0.157</v>
      </c>
      <c r="N7" s="4" t="n"/>
      <c r="O7" s="4" t="n"/>
      <c r="P7" s="5" t="n">
        <v>0</v>
      </c>
      <c r="Q7" s="6" t="n">
        <v>0</v>
      </c>
      <c r="R7" s="6" t="n">
        <v>5.5</v>
      </c>
      <c r="S7" s="6" t="n">
        <v>52.6</v>
      </c>
      <c r="T7" s="6" t="n">
        <v>15.89</v>
      </c>
      <c r="U7" s="6" t="n">
        <v>0.9</v>
      </c>
      <c r="V7" s="6" t="n">
        <v>0.66</v>
      </c>
      <c r="W7" s="6" t="n">
        <v>0.24</v>
      </c>
      <c r="X7" s="6" t="n">
        <v>0</v>
      </c>
      <c r="Y7" s="6" t="n">
        <v>5.2</v>
      </c>
      <c r="Z7" s="6" t="n">
        <v>3.06</v>
      </c>
      <c r="AA7" s="6" t="n">
        <v>4.15</v>
      </c>
      <c r="AB7" s="6" t="n">
        <v>69.15000000000001</v>
      </c>
      <c r="AC7" s="6" t="n">
        <v>0</v>
      </c>
      <c r="AD7" s="6" t="n">
        <v>0</v>
      </c>
      <c r="AE7" s="6" t="n">
        <v>81.8</v>
      </c>
      <c r="AF7" s="6" t="n">
        <v>81.8</v>
      </c>
    </row>
    <row r="8">
      <c r="A8" s="3" t="inlineStr">
        <is>
          <t>demo_d3_apr</t>
        </is>
      </c>
      <c r="B8" s="3" t="inlineStr">
        <is>
          <t>D3</t>
        </is>
      </c>
      <c r="C8" s="3" t="inlineStr">
        <is>
          <t>Provider-B</t>
        </is>
      </c>
      <c r="D8" s="3" t="inlineStr">
        <is>
          <t>Business Floating (demo)</t>
        </is>
      </c>
      <c r="E8" s="3" t="inlineStr">
        <is>
          <t>clearing</t>
        </is>
      </c>
      <c r="F8" s="3" t="inlineStr">
        <is>
          <t>2026-04-01</t>
        </is>
      </c>
      <c r="G8" s="3" t="inlineStr">
        <is>
          <t>2026-04-30</t>
        </is>
      </c>
      <c r="H8" s="3" t="n">
        <v>30</v>
      </c>
      <c r="I8" s="3" t="inlineStr">
        <is>
          <t>2026-05-22</t>
        </is>
      </c>
      <c r="J8" s="3" t="n">
        <v>680</v>
      </c>
      <c r="K8" s="3" t="n">
        <v>680</v>
      </c>
      <c r="L8" s="3" t="n">
        <v>0</v>
      </c>
      <c r="M8" s="4" t="n">
        <v>0.168</v>
      </c>
      <c r="N8" s="4" t="n"/>
      <c r="O8" s="4" t="n"/>
      <c r="P8" s="5" t="n">
        <v>0</v>
      </c>
      <c r="Q8" s="6" t="n">
        <v>0</v>
      </c>
      <c r="R8" s="6" t="n">
        <v>5.5</v>
      </c>
      <c r="S8" s="6" t="n">
        <v>119.74</v>
      </c>
      <c r="T8" s="6" t="n">
        <v>49.74</v>
      </c>
      <c r="U8" s="6" t="n">
        <v>3.97</v>
      </c>
      <c r="V8" s="6" t="n">
        <v>3.4</v>
      </c>
      <c r="W8" s="6" t="n">
        <v>0.57</v>
      </c>
      <c r="X8" s="6" t="n">
        <v>0</v>
      </c>
      <c r="Y8" s="6" t="n">
        <v>2</v>
      </c>
      <c r="Z8" s="6" t="n">
        <v>0</v>
      </c>
      <c r="AA8" s="6" t="n">
        <v>10.37</v>
      </c>
      <c r="AB8" s="6" t="n">
        <v>172.88</v>
      </c>
      <c r="AC8" s="6" t="n">
        <v>0</v>
      </c>
      <c r="AD8" s="6" t="n">
        <v>0</v>
      </c>
      <c r="AE8" s="6" t="n">
        <v>185.82</v>
      </c>
      <c r="AF8" s="6" t="n">
        <v>185.82</v>
      </c>
    </row>
    <row r="9">
      <c r="A9" s="3" t="inlineStr">
        <is>
          <t>demo_d3_may</t>
        </is>
      </c>
      <c r="B9" s="3" t="inlineStr">
        <is>
          <t>D3</t>
        </is>
      </c>
      <c r="C9" s="3" t="inlineStr">
        <is>
          <t>Provider-B</t>
        </is>
      </c>
      <c r="D9" s="3" t="inlineStr">
        <is>
          <t>Business Floating (demo)</t>
        </is>
      </c>
      <c r="E9" s="3" t="inlineStr">
        <is>
          <t>clearing</t>
        </is>
      </c>
      <c r="F9" s="3" t="inlineStr">
        <is>
          <t>2026-05-01</t>
        </is>
      </c>
      <c r="G9" s="3" t="inlineStr">
        <is>
          <t>2026-05-31</t>
        </is>
      </c>
      <c r="H9" s="3" t="n">
        <v>31</v>
      </c>
      <c r="I9" s="3" t="inlineStr">
        <is>
          <t>2026-06-22</t>
        </is>
      </c>
      <c r="J9" s="3" t="n">
        <v>720</v>
      </c>
      <c r="K9" s="3" t="n">
        <v>720</v>
      </c>
      <c r="L9" s="3" t="n">
        <v>0</v>
      </c>
      <c r="M9" s="4" t="n">
        <v>0.168</v>
      </c>
      <c r="N9" s="4" t="n"/>
      <c r="O9" s="4" t="n"/>
      <c r="P9" s="5" t="n">
        <v>0</v>
      </c>
      <c r="Q9" s="6" t="n">
        <v>0</v>
      </c>
      <c r="R9" s="6" t="n">
        <v>5.5</v>
      </c>
      <c r="S9" s="6" t="n">
        <v>126.46</v>
      </c>
      <c r="T9" s="6" t="n">
        <v>52.08</v>
      </c>
      <c r="U9" s="6" t="n">
        <v>4.2</v>
      </c>
      <c r="V9" s="6" t="n">
        <v>3.6</v>
      </c>
      <c r="W9" s="6" t="n">
        <v>0.6</v>
      </c>
      <c r="X9" s="6" t="n">
        <v>0</v>
      </c>
      <c r="Y9" s="6" t="n">
        <v>2.1</v>
      </c>
      <c r="Z9" s="6" t="n">
        <v>0</v>
      </c>
      <c r="AA9" s="6" t="n">
        <v>10.93</v>
      </c>
      <c r="AB9" s="6" t="n">
        <v>182.14</v>
      </c>
      <c r="AC9" s="6" t="n">
        <v>0</v>
      </c>
      <c r="AD9" s="6" t="n">
        <v>0</v>
      </c>
      <c r="AE9" s="6" t="n">
        <v>195.77</v>
      </c>
      <c r="AF9" s="6" t="n">
        <v>195.77</v>
      </c>
    </row>
    <row r="10">
      <c r="A10" s="7" t="inlineStr">
        <is>
          <t>TOTAL</t>
        </is>
      </c>
      <c r="J10" s="7">
        <f>SUM(J4:J9)</f>
        <v/>
      </c>
      <c r="S10" s="8">
        <f>SUM(S4:S9)</f>
        <v/>
      </c>
      <c r="T10" s="8">
        <f>SUM(T4:T9)</f>
        <v/>
      </c>
      <c r="U10" s="8">
        <f>SUM(U4:U9)</f>
        <v/>
      </c>
      <c r="Y10" s="8">
        <f>SUM(Y4:Y9)</f>
        <v/>
      </c>
      <c r="Z10" s="8">
        <f>SUM(Z4:Z9)</f>
        <v/>
      </c>
      <c r="AA10" s="8">
        <f>SUM(AA4:AA9)</f>
        <v/>
      </c>
      <c r="AE10" s="8">
        <f>SUM(AE4:AE9)</f>
        <v/>
      </c>
      <c r="AF10" s="8">
        <f>SUM(AF4:AF9)</f>
        <v/>
      </c>
    </row>
    <row r="12">
      <c r="A12" s="9" t="inlineStr">
        <is>
          <t>Notes: (1) 5d2516a2 is a 66-day clearing bill whose payable (280.19) is NET of a 224.95€ 'enanti' (on-account) charge billed earlier. Its true economic period cost is reconstructed gross = 518.64€ (see Backtest). (2) VAT (6%) base = A + B + EFK. Municipal, ERT, special 5‰ and late interest are outside the VAT base. (3) EFK = 0.0022 €/kWh residential, 0.005 €/kWh business. (4) S4 (DEH) April municipal/ERT split estimated; aggregate exact.</t>
        </is>
      </c>
    </row>
    <row r="13"/>
    <row r="14"/>
  </sheetData>
  <mergeCells count="1">
    <mergeCell ref="A12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34" customWidth="1" min="4" max="4"/>
    <col width="18" customWidth="1" min="5" max="5"/>
    <col width="18" customWidth="1" min="6" max="6"/>
    <col width="16" customWidth="1" min="7" max="7"/>
    <col width="9" customWidth="1" min="8" max="8"/>
    <col width="7" customWidth="1" min="9" max="9"/>
    <col width="12" customWidth="1" min="10" max="10"/>
    <col width="9" customWidth="1" min="11" max="11"/>
    <col width="7" customWidth="1" min="12" max="12"/>
    <col width="14" customWidth="1" min="13" max="13"/>
    <col width="12" customWidth="1" min="14" max="14"/>
    <col width="11" customWidth="1" min="15" max="15"/>
    <col width="15" customWidth="1" min="16" max="16"/>
    <col width="40" customWidth="1" min="17" max="17"/>
  </cols>
  <sheetData>
    <row r="1">
      <c r="A1" s="1" t="inlineStr">
        <is>
          <t>Supplies — one row per electricity supply/contract</t>
        </is>
      </c>
    </row>
    <row r="3">
      <c r="A3" s="2" t="inlineStr">
        <is>
          <t>Supply ID</t>
        </is>
      </c>
      <c r="B3" s="2" t="inlineStr">
        <is>
          <t>Provider (now)</t>
        </is>
      </c>
      <c r="C3" s="2" t="inlineStr">
        <is>
          <t>Supply number</t>
        </is>
      </c>
      <c r="D3" s="2" t="inlineStr">
        <is>
          <t>Property / label</t>
        </is>
      </c>
      <c r="E3" s="2" t="inlineStr">
        <is>
          <t>Customer type</t>
        </is>
      </c>
      <c r="F3" s="2" t="inlineStr">
        <is>
          <t>Current product</t>
        </is>
      </c>
      <c r="G3" s="2" t="inlineStr">
        <is>
          <t>Tariff type</t>
        </is>
      </c>
      <c r="H3" s="2" t="inlineStr">
        <is>
          <t>Power (kVA)</t>
        </is>
      </c>
      <c r="I3" s="2" t="inlineStr">
        <is>
          <t>Phases</t>
        </is>
      </c>
      <c r="J3" s="2" t="inlineStr">
        <is>
          <t>Register</t>
        </is>
      </c>
      <c r="K3" s="2" t="inlineStr">
        <is>
          <t>Priority</t>
        </is>
      </c>
      <c r="L3" s="2" t="inlineStr">
        <is>
          <t>Bills count</t>
        </is>
      </c>
      <c r="M3" s="2" t="inlineStr">
        <is>
          <t>Total kWh (sampled)</t>
        </is>
      </c>
      <c r="N3" s="2" t="inlineStr">
        <is>
          <t>Total days (sampled)</t>
        </is>
      </c>
      <c r="O3" s="2" t="inlineStr">
        <is>
          <t>Avg kWh/day</t>
        </is>
      </c>
      <c r="P3" s="2" t="inlineStr">
        <is>
          <t>Annualised kWh est.</t>
        </is>
      </c>
      <c r="Q3" s="2" t="inlineStr">
        <is>
          <t>Notes</t>
        </is>
      </c>
    </row>
    <row r="4">
      <c r="A4" s="10" t="inlineStr">
        <is>
          <t>D1</t>
        </is>
      </c>
      <c r="B4" s="10" t="inlineStr">
        <is>
          <t>Provider-A</t>
        </is>
      </c>
      <c r="C4" s="10" t="inlineStr">
        <is>
          <t>0-00000000-0</t>
        </is>
      </c>
      <c r="D4" s="10" t="inlineStr">
        <is>
          <t>DEMO — Main residence (night tariff)</t>
        </is>
      </c>
      <c r="E4" s="10" t="inlineStr">
        <is>
          <t>residential</t>
        </is>
      </c>
      <c r="F4" s="10" t="inlineStr">
        <is>
          <t>Night Floating (demo)</t>
        </is>
      </c>
      <c r="G4" s="10" t="inlineStr">
        <is>
          <t>floating night</t>
        </is>
      </c>
      <c r="H4" s="10" t="n">
        <v>35</v>
      </c>
      <c r="I4" s="10" t="n">
        <v>3</v>
      </c>
      <c r="J4" s="10" t="inlineStr">
        <is>
          <t>dual (day/night)</t>
        </is>
      </c>
      <c r="K4" s="11" t="inlineStr">
        <is>
          <t>HIGH</t>
        </is>
      </c>
      <c r="L4" s="10" t="n">
        <v>2</v>
      </c>
      <c r="M4" s="10" t="n">
        <v>1950</v>
      </c>
      <c r="N4" s="10" t="n">
        <v>61</v>
      </c>
      <c r="O4" s="10" t="n">
        <v>31.97</v>
      </c>
      <c r="P4" s="10" t="n">
        <v>11668</v>
      </c>
      <c r="Q4" s="10" t="inlineStr">
        <is>
          <t>Synthetic. High consumption ~950 kWh/mo, ~30% on night register.</t>
        </is>
      </c>
    </row>
    <row r="5">
      <c r="A5" s="10" t="inlineStr">
        <is>
          <t>D2</t>
        </is>
      </c>
      <c r="B5" s="10" t="inlineStr">
        <is>
          <t>Provider-B</t>
        </is>
      </c>
      <c r="C5" s="10" t="inlineStr">
        <is>
          <t>0-00000000-1</t>
        </is>
      </c>
      <c r="D5" s="10" t="inlineStr">
        <is>
          <t>DEMO — Apartment</t>
        </is>
      </c>
      <c r="E5" s="10" t="inlineStr">
        <is>
          <t>residential</t>
        </is>
      </c>
      <c r="F5" s="10" t="inlineStr">
        <is>
          <t>Home Floating (demo)</t>
        </is>
      </c>
      <c r="G5" s="10" t="inlineStr">
        <is>
          <t>floating</t>
        </is>
      </c>
      <c r="H5" s="10" t="n">
        <v>8</v>
      </c>
      <c r="I5" s="10" t="n">
        <v>1</v>
      </c>
      <c r="J5" s="10" t="inlineStr">
        <is>
          <t>single</t>
        </is>
      </c>
      <c r="K5" s="10" t="inlineStr">
        <is>
          <t>medium</t>
        </is>
      </c>
      <c r="L5" s="10" t="n">
        <v>2</v>
      </c>
      <c r="M5" s="10" t="n">
        <v>585</v>
      </c>
      <c r="N5" s="10" t="n">
        <v>61</v>
      </c>
      <c r="O5" s="10" t="n">
        <v>9.59</v>
      </c>
      <c r="P5" s="10" t="n">
        <v>3500</v>
      </c>
      <c r="Q5" s="10" t="inlineStr">
        <is>
          <t>Synthetic. ~280 kWh/mo single-register.</t>
        </is>
      </c>
    </row>
    <row r="6">
      <c r="A6" s="10" t="inlineStr">
        <is>
          <t>D3</t>
        </is>
      </c>
      <c r="B6" s="10" t="inlineStr">
        <is>
          <t>Provider-B</t>
        </is>
      </c>
      <c r="C6" s="10" t="inlineStr">
        <is>
          <t>0-00000000-2</t>
        </is>
      </c>
      <c r="D6" s="10" t="inlineStr">
        <is>
          <t>DEMO — Building common areas</t>
        </is>
      </c>
      <c r="E6" s="10" t="inlineStr">
        <is>
          <t>business</t>
        </is>
      </c>
      <c r="F6" s="10" t="inlineStr">
        <is>
          <t>Business Floating (demo)</t>
        </is>
      </c>
      <c r="G6" s="10" t="inlineStr">
        <is>
          <t>floating business</t>
        </is>
      </c>
      <c r="H6" s="10" t="n">
        <v>25</v>
      </c>
      <c r="I6" s="10" t="n">
        <v>3</v>
      </c>
      <c r="J6" s="10" t="inlineStr">
        <is>
          <t>single</t>
        </is>
      </c>
      <c r="K6" s="10" t="inlineStr">
        <is>
          <t>medium</t>
        </is>
      </c>
      <c r="L6" s="10" t="n">
        <v>2</v>
      </c>
      <c r="M6" s="10" t="n">
        <v>1400</v>
      </c>
      <c r="N6" s="10" t="n">
        <v>61</v>
      </c>
      <c r="O6" s="10" t="n">
        <v>22.95</v>
      </c>
      <c r="P6" s="10" t="n">
        <v>8377</v>
      </c>
      <c r="Q6" s="10" t="inlineStr">
        <is>
          <t>Synthetic. Common areas (koinochrista), 25 kVA, ~700 kWh/mo.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30" customWidth="1" min="4" max="4"/>
    <col width="42" customWidth="1" min="5" max="5"/>
    <col width="11" customWidth="1" min="6" max="6"/>
    <col width="18" customWidth="1" min="7" max="7"/>
  </cols>
  <sheetData>
    <row r="1">
      <c r="A1" s="1" t="inlineStr">
        <is>
          <t>Bill_Line_Items — detailed line items per bill</t>
        </is>
      </c>
    </row>
    <row r="3">
      <c r="A3" s="2" t="inlineStr">
        <is>
          <t>File</t>
        </is>
      </c>
      <c r="B3" s="2" t="inlineStr">
        <is>
          <t>Supply</t>
        </is>
      </c>
      <c r="C3" s="2" t="inlineStr">
        <is>
          <t>Category</t>
        </is>
      </c>
      <c r="D3" s="2" t="inlineStr">
        <is>
          <t>Line item</t>
        </is>
      </c>
      <c r="E3" s="2" t="inlineStr">
        <is>
          <t>Basis / calc</t>
        </is>
      </c>
      <c r="F3" s="2" t="inlineStr">
        <is>
          <t>Amount €</t>
        </is>
      </c>
      <c r="G3" s="2" t="inlineStr">
        <is>
          <t>Provider-dependent?</t>
        </is>
      </c>
    </row>
    <row r="4">
      <c r="A4" s="10" t="inlineStr">
        <is>
          <t>demo_d1_apr</t>
        </is>
      </c>
      <c r="B4" s="10" t="inlineStr">
        <is>
          <t>D1</t>
        </is>
      </c>
      <c r="C4" s="10" t="inlineStr">
        <is>
          <t>A Supply</t>
        </is>
      </c>
      <c r="D4" s="10" t="inlineStr">
        <is>
          <t>Paygio (fixed)</t>
        </is>
      </c>
      <c r="E4" s="10" t="inlineStr">
        <is>
          <t>5.00€ for 30d</t>
        </is>
      </c>
      <c r="F4" s="12" t="n">
        <v>5</v>
      </c>
      <c r="G4" s="13" t="inlineStr">
        <is>
          <t>YES</t>
        </is>
      </c>
    </row>
    <row r="5">
      <c r="A5" s="10" t="inlineStr">
        <is>
          <t>demo_d1_apr</t>
        </is>
      </c>
      <c r="B5" s="10" t="inlineStr">
        <is>
          <t>D1</t>
        </is>
      </c>
      <c r="C5" s="10" t="inlineStr">
        <is>
          <t>A Supply</t>
        </is>
      </c>
      <c r="D5" s="10" t="inlineStr">
        <is>
          <t>Energy DAY (kanoniki)</t>
        </is>
      </c>
      <c r="E5" s="10" t="inlineStr">
        <is>
          <t>700 kWh x 0.155 €/kWh</t>
        </is>
      </c>
      <c r="F5" s="12" t="n">
        <v>108.5</v>
      </c>
      <c r="G5" s="13" t="inlineStr">
        <is>
          <t>YES</t>
        </is>
      </c>
    </row>
    <row r="6">
      <c r="A6" s="10" t="inlineStr">
        <is>
          <t>demo_d1_apr</t>
        </is>
      </c>
      <c r="B6" s="10" t="inlineStr">
        <is>
          <t>D1</t>
        </is>
      </c>
      <c r="C6" s="10" t="inlineStr">
        <is>
          <t>A Supply</t>
        </is>
      </c>
      <c r="D6" s="10" t="inlineStr">
        <is>
          <t>Energy NIGHT (meiomeni)</t>
        </is>
      </c>
      <c r="E6" s="10" t="inlineStr">
        <is>
          <t>250 kWh x 0.123 €/kWh</t>
        </is>
      </c>
      <c r="F6" s="12" t="n">
        <v>30.75</v>
      </c>
      <c r="G6" s="13" t="inlineStr">
        <is>
          <t>YES</t>
        </is>
      </c>
    </row>
    <row r="7">
      <c r="A7" s="10" t="inlineStr">
        <is>
          <t>demo_d1_apr</t>
        </is>
      </c>
      <c r="B7" s="10" t="inlineStr">
        <is>
          <t>D1</t>
        </is>
      </c>
      <c r="C7" s="10" t="inlineStr">
        <is>
          <t>B Regulated</t>
        </is>
      </c>
      <c r="D7" s="10" t="inlineStr">
        <is>
          <t>ADMIE+DEDDIE+ETMEAR+YKO</t>
        </is>
      </c>
      <c r="E7" s="10" t="inlineStr">
        <is>
          <t>transmission+distribution+RES levy+PSO (regulated)</t>
        </is>
      </c>
      <c r="F7" s="12" t="n">
        <v>54.81</v>
      </c>
      <c r="G7" s="10" t="inlineStr">
        <is>
          <t>no</t>
        </is>
      </c>
    </row>
    <row r="8">
      <c r="A8" s="10" t="inlineStr">
        <is>
          <t>demo_d1_apr</t>
        </is>
      </c>
      <c r="B8" s="10" t="inlineStr">
        <is>
          <t>D1</t>
        </is>
      </c>
      <c r="C8" s="10" t="inlineStr">
        <is>
          <t>Taxes</t>
        </is>
      </c>
      <c r="D8" s="10" t="inlineStr">
        <is>
          <t>EFK (excise)</t>
        </is>
      </c>
      <c r="E8" s="10" t="inlineStr">
        <is>
          <t>2.09 (in VAT base)</t>
        </is>
      </c>
      <c r="F8" s="12" t="n">
        <v>2.09</v>
      </c>
      <c r="G8" s="10" t="inlineStr">
        <is>
          <t>no</t>
        </is>
      </c>
    </row>
    <row r="9">
      <c r="A9" s="10" t="inlineStr">
        <is>
          <t>demo_d1_apr</t>
        </is>
      </c>
      <c r="B9" s="10" t="inlineStr">
        <is>
          <t>D1</t>
        </is>
      </c>
      <c r="C9" s="10" t="inlineStr">
        <is>
          <t>Taxes</t>
        </is>
      </c>
      <c r="D9" s="10" t="inlineStr">
        <is>
          <t>Special levy 5‰</t>
        </is>
      </c>
      <c r="E9" s="10" t="inlineStr">
        <is>
          <t>0.5% of energy value</t>
        </is>
      </c>
      <c r="F9" s="12" t="n">
        <v>0.7</v>
      </c>
      <c r="G9" s="10" t="inlineStr">
        <is>
          <t>no</t>
        </is>
      </c>
    </row>
    <row r="10">
      <c r="A10" s="10" t="inlineStr">
        <is>
          <t>demo_d1_apr</t>
        </is>
      </c>
      <c r="B10" s="10" t="inlineStr">
        <is>
          <t>D1</t>
        </is>
      </c>
      <c r="C10" s="10" t="inlineStr">
        <is>
          <t>Municipal</t>
        </is>
      </c>
      <c r="D10" s="10" t="inlineStr">
        <is>
          <t>DT+DF+TAP (Dimos)</t>
        </is>
      </c>
      <c r="E10" s="10" t="inlineStr">
        <is>
          <t>per m2 / municipality</t>
        </is>
      </c>
      <c r="F10" s="12" t="n">
        <v>46</v>
      </c>
      <c r="G10" s="10" t="inlineStr">
        <is>
          <t>no</t>
        </is>
      </c>
    </row>
    <row r="11">
      <c r="A11" s="10" t="inlineStr">
        <is>
          <t>demo_d1_apr</t>
        </is>
      </c>
      <c r="B11" s="10" t="inlineStr">
        <is>
          <t>D1</t>
        </is>
      </c>
      <c r="C11" s="10" t="inlineStr">
        <is>
          <t>ERT</t>
        </is>
      </c>
      <c r="D11" s="10" t="inlineStr">
        <is>
          <t>ERT levy</t>
        </is>
      </c>
      <c r="E11" s="10" t="inlineStr">
        <is>
          <t>36€/yr prorated</t>
        </is>
      </c>
      <c r="F11" s="12" t="n">
        <v>2.96</v>
      </c>
      <c r="G11" s="10" t="inlineStr">
        <is>
          <t>no</t>
        </is>
      </c>
    </row>
    <row r="12">
      <c r="A12" s="10" t="inlineStr">
        <is>
          <t>demo_d1_apr</t>
        </is>
      </c>
      <c r="B12" s="10" t="inlineStr">
        <is>
          <t>D1</t>
        </is>
      </c>
      <c r="C12" s="10" t="inlineStr">
        <is>
          <t>VAT</t>
        </is>
      </c>
      <c r="D12" s="10" t="inlineStr">
        <is>
          <t>VAT 6%</t>
        </is>
      </c>
      <c r="E12" s="10" t="inlineStr">
        <is>
          <t>6% x 201.15</t>
        </is>
      </c>
      <c r="F12" s="12" t="n">
        <v>12.07</v>
      </c>
      <c r="G12" s="10" t="inlineStr">
        <is>
          <t>no (follows A)</t>
        </is>
      </c>
    </row>
    <row r="14">
      <c r="A14" s="10" t="inlineStr">
        <is>
          <t>demo_d1_may</t>
        </is>
      </c>
      <c r="B14" s="10" t="inlineStr">
        <is>
          <t>D1</t>
        </is>
      </c>
      <c r="C14" s="10" t="inlineStr">
        <is>
          <t>A Supply</t>
        </is>
      </c>
      <c r="D14" s="10" t="inlineStr">
        <is>
          <t>Paygio (fixed)</t>
        </is>
      </c>
      <c r="E14" s="10" t="inlineStr">
        <is>
          <t>5.00€ for 31d</t>
        </is>
      </c>
      <c r="F14" s="12" t="n">
        <v>5</v>
      </c>
      <c r="G14" s="13" t="inlineStr">
        <is>
          <t>YES</t>
        </is>
      </c>
    </row>
    <row r="15">
      <c r="A15" s="10" t="inlineStr">
        <is>
          <t>demo_d1_may</t>
        </is>
      </c>
      <c r="B15" s="10" t="inlineStr">
        <is>
          <t>D1</t>
        </is>
      </c>
      <c r="C15" s="10" t="inlineStr">
        <is>
          <t>A Supply</t>
        </is>
      </c>
      <c r="D15" s="10" t="inlineStr">
        <is>
          <t>Energy DAY (kanoniki)</t>
        </is>
      </c>
      <c r="E15" s="10" t="inlineStr">
        <is>
          <t>740 kWh x 0.155 €/kWh</t>
        </is>
      </c>
      <c r="F15" s="12" t="n">
        <v>114.7</v>
      </c>
      <c r="G15" s="13" t="inlineStr">
        <is>
          <t>YES</t>
        </is>
      </c>
    </row>
    <row r="16">
      <c r="A16" s="10" t="inlineStr">
        <is>
          <t>demo_d1_may</t>
        </is>
      </c>
      <c r="B16" s="10" t="inlineStr">
        <is>
          <t>D1</t>
        </is>
      </c>
      <c r="C16" s="10" t="inlineStr">
        <is>
          <t>A Supply</t>
        </is>
      </c>
      <c r="D16" s="10" t="inlineStr">
        <is>
          <t>Energy NIGHT (meiomeni)</t>
        </is>
      </c>
      <c r="E16" s="10" t="inlineStr">
        <is>
          <t>260 kWh x 0.123 €/kWh</t>
        </is>
      </c>
      <c r="F16" s="12" t="n">
        <v>31.98</v>
      </c>
      <c r="G16" s="13" t="inlineStr">
        <is>
          <t>YES</t>
        </is>
      </c>
    </row>
    <row r="17">
      <c r="A17" s="10" t="inlineStr">
        <is>
          <t>demo_d1_may</t>
        </is>
      </c>
      <c r="B17" s="10" t="inlineStr">
        <is>
          <t>D1</t>
        </is>
      </c>
      <c r="C17" s="10" t="inlineStr">
        <is>
          <t>B Regulated</t>
        </is>
      </c>
      <c r="D17" s="10" t="inlineStr">
        <is>
          <t>ADMIE+DEDDIE+ETMEAR+YKO</t>
        </is>
      </c>
      <c r="E17" s="10" t="inlineStr">
        <is>
          <t>transmission+distribution+RES levy+PSO (regulated)</t>
        </is>
      </c>
      <c r="F17" s="12" t="n">
        <v>57.35</v>
      </c>
      <c r="G17" s="10" t="inlineStr">
        <is>
          <t>no</t>
        </is>
      </c>
    </row>
    <row r="18">
      <c r="A18" s="10" t="inlineStr">
        <is>
          <t>demo_d1_may</t>
        </is>
      </c>
      <c r="B18" s="10" t="inlineStr">
        <is>
          <t>D1</t>
        </is>
      </c>
      <c r="C18" s="10" t="inlineStr">
        <is>
          <t>Taxes</t>
        </is>
      </c>
      <c r="D18" s="10" t="inlineStr">
        <is>
          <t>EFK (excise)</t>
        </is>
      </c>
      <c r="E18" s="10" t="inlineStr">
        <is>
          <t>2.20 (in VAT base)</t>
        </is>
      </c>
      <c r="F18" s="12" t="n">
        <v>2.2</v>
      </c>
      <c r="G18" s="10" t="inlineStr">
        <is>
          <t>no</t>
        </is>
      </c>
    </row>
    <row r="19">
      <c r="A19" s="10" t="inlineStr">
        <is>
          <t>demo_d1_may</t>
        </is>
      </c>
      <c r="B19" s="10" t="inlineStr">
        <is>
          <t>D1</t>
        </is>
      </c>
      <c r="C19" s="10" t="inlineStr">
        <is>
          <t>Taxes</t>
        </is>
      </c>
      <c r="D19" s="10" t="inlineStr">
        <is>
          <t>Special levy 5‰</t>
        </is>
      </c>
      <c r="E19" s="10" t="inlineStr">
        <is>
          <t>0.5% of energy value</t>
        </is>
      </c>
      <c r="F19" s="12" t="n">
        <v>0.73</v>
      </c>
      <c r="G19" s="10" t="inlineStr">
        <is>
          <t>no</t>
        </is>
      </c>
    </row>
    <row r="20">
      <c r="A20" s="10" t="inlineStr">
        <is>
          <t>demo_d1_may</t>
        </is>
      </c>
      <c r="B20" s="10" t="inlineStr">
        <is>
          <t>D1</t>
        </is>
      </c>
      <c r="C20" s="10" t="inlineStr">
        <is>
          <t>Municipal</t>
        </is>
      </c>
      <c r="D20" s="10" t="inlineStr">
        <is>
          <t>DT+DF+TAP (Dimos)</t>
        </is>
      </c>
      <c r="E20" s="10" t="inlineStr">
        <is>
          <t>per m2 / municipality</t>
        </is>
      </c>
      <c r="F20" s="12" t="n">
        <v>47.5</v>
      </c>
      <c r="G20" s="10" t="inlineStr">
        <is>
          <t>no</t>
        </is>
      </c>
    </row>
    <row r="21">
      <c r="A21" s="10" t="inlineStr">
        <is>
          <t>demo_d1_may</t>
        </is>
      </c>
      <c r="B21" s="10" t="inlineStr">
        <is>
          <t>D1</t>
        </is>
      </c>
      <c r="C21" s="10" t="inlineStr">
        <is>
          <t>ERT</t>
        </is>
      </c>
      <c r="D21" s="10" t="inlineStr">
        <is>
          <t>ERT levy</t>
        </is>
      </c>
      <c r="E21" s="10" t="inlineStr">
        <is>
          <t>36€/yr prorated</t>
        </is>
      </c>
      <c r="F21" s="12" t="n">
        <v>3.06</v>
      </c>
      <c r="G21" s="10" t="inlineStr">
        <is>
          <t>no</t>
        </is>
      </c>
    </row>
    <row r="22">
      <c r="A22" s="10" t="inlineStr">
        <is>
          <t>demo_d1_may</t>
        </is>
      </c>
      <c r="B22" s="10" t="inlineStr">
        <is>
          <t>D1</t>
        </is>
      </c>
      <c r="C22" s="10" t="inlineStr">
        <is>
          <t>VAT</t>
        </is>
      </c>
      <c r="D22" s="10" t="inlineStr">
        <is>
          <t>VAT 6%</t>
        </is>
      </c>
      <c r="E22" s="10" t="inlineStr">
        <is>
          <t>6% x 211.23</t>
        </is>
      </c>
      <c r="F22" s="12" t="n">
        <v>12.67</v>
      </c>
      <c r="G22" s="10" t="inlineStr">
        <is>
          <t>no (follows A)</t>
        </is>
      </c>
    </row>
    <row r="24">
      <c r="A24" s="10" t="inlineStr">
        <is>
          <t>demo_d2_apr</t>
        </is>
      </c>
      <c r="B24" s="10" t="inlineStr">
        <is>
          <t>D2</t>
        </is>
      </c>
      <c r="C24" s="10" t="inlineStr">
        <is>
          <t>A Supply</t>
        </is>
      </c>
      <c r="D24" s="10" t="inlineStr">
        <is>
          <t>Paygio (fixed)</t>
        </is>
      </c>
      <c r="E24" s="10" t="inlineStr">
        <is>
          <t>5.50€ for 30d</t>
        </is>
      </c>
      <c r="F24" s="12" t="n">
        <v>5.5</v>
      </c>
      <c r="G24" s="13" t="inlineStr">
        <is>
          <t>YES</t>
        </is>
      </c>
    </row>
    <row r="25">
      <c r="A25" s="10" t="inlineStr">
        <is>
          <t>demo_d2_apr</t>
        </is>
      </c>
      <c r="B25" s="10" t="inlineStr">
        <is>
          <t>D2</t>
        </is>
      </c>
      <c r="C25" s="10" t="inlineStr">
        <is>
          <t>A Supply</t>
        </is>
      </c>
      <c r="D25" s="10" t="inlineStr">
        <is>
          <t>Energy</t>
        </is>
      </c>
      <c r="E25" s="10" t="inlineStr">
        <is>
          <t>285 kWh x 0.157 €/kWh</t>
        </is>
      </c>
      <c r="F25" s="12" t="n">
        <v>44.74</v>
      </c>
      <c r="G25" s="13" t="inlineStr">
        <is>
          <t>YES</t>
        </is>
      </c>
    </row>
    <row r="26">
      <c r="A26" s="10" t="inlineStr">
        <is>
          <t>demo_d2_apr</t>
        </is>
      </c>
      <c r="B26" s="10" t="inlineStr">
        <is>
          <t>D2</t>
        </is>
      </c>
      <c r="C26" s="10" t="inlineStr">
        <is>
          <t>B Regulated</t>
        </is>
      </c>
      <c r="D26" s="10" t="inlineStr">
        <is>
          <t>ADMIE+DEDDIE+ETMEAR+YKO</t>
        </is>
      </c>
      <c r="E26" s="10" t="inlineStr">
        <is>
          <t>transmission+distribution+RES levy+PSO (regulated)</t>
        </is>
      </c>
      <c r="F26" s="12" t="n">
        <v>15.17</v>
      </c>
      <c r="G26" s="10" t="inlineStr">
        <is>
          <t>no</t>
        </is>
      </c>
    </row>
    <row r="27">
      <c r="A27" s="10" t="inlineStr">
        <is>
          <t>demo_d2_apr</t>
        </is>
      </c>
      <c r="B27" s="10" t="inlineStr">
        <is>
          <t>D2</t>
        </is>
      </c>
      <c r="C27" s="10" t="inlineStr">
        <is>
          <t>Taxes</t>
        </is>
      </c>
      <c r="D27" s="10" t="inlineStr">
        <is>
          <t>EFK (excise)</t>
        </is>
      </c>
      <c r="E27" s="10" t="inlineStr">
        <is>
          <t>0.63 (in VAT base)</t>
        </is>
      </c>
      <c r="F27" s="12" t="n">
        <v>0.63</v>
      </c>
      <c r="G27" s="10" t="inlineStr">
        <is>
          <t>no</t>
        </is>
      </c>
    </row>
    <row r="28">
      <c r="A28" s="10" t="inlineStr">
        <is>
          <t>demo_d2_apr</t>
        </is>
      </c>
      <c r="B28" s="10" t="inlineStr">
        <is>
          <t>D2</t>
        </is>
      </c>
      <c r="C28" s="10" t="inlineStr">
        <is>
          <t>Taxes</t>
        </is>
      </c>
      <c r="D28" s="10" t="inlineStr">
        <is>
          <t>Special levy 5‰</t>
        </is>
      </c>
      <c r="E28" s="10" t="inlineStr">
        <is>
          <t>0.5% of energy value</t>
        </is>
      </c>
      <c r="F28" s="12" t="n">
        <v>0.22</v>
      </c>
      <c r="G28" s="10" t="inlineStr">
        <is>
          <t>no</t>
        </is>
      </c>
    </row>
    <row r="29">
      <c r="A29" s="10" t="inlineStr">
        <is>
          <t>demo_d2_apr</t>
        </is>
      </c>
      <c r="B29" s="10" t="inlineStr">
        <is>
          <t>D2</t>
        </is>
      </c>
      <c r="C29" s="10" t="inlineStr">
        <is>
          <t>Municipal</t>
        </is>
      </c>
      <c r="D29" s="10" t="inlineStr">
        <is>
          <t>DT+DF+TAP (Dimos)</t>
        </is>
      </c>
      <c r="E29" s="10" t="inlineStr">
        <is>
          <t>per m2 / municipality</t>
        </is>
      </c>
      <c r="F29" s="12" t="n">
        <v>5</v>
      </c>
      <c r="G29" s="10" t="inlineStr">
        <is>
          <t>no</t>
        </is>
      </c>
    </row>
    <row r="30">
      <c r="A30" s="10" t="inlineStr">
        <is>
          <t>demo_d2_apr</t>
        </is>
      </c>
      <c r="B30" s="10" t="inlineStr">
        <is>
          <t>D2</t>
        </is>
      </c>
      <c r="C30" s="10" t="inlineStr">
        <is>
          <t>ERT</t>
        </is>
      </c>
      <c r="D30" s="10" t="inlineStr">
        <is>
          <t>ERT levy</t>
        </is>
      </c>
      <c r="E30" s="10" t="inlineStr">
        <is>
          <t>36€/yr prorated</t>
        </is>
      </c>
      <c r="F30" s="12" t="n">
        <v>2.96</v>
      </c>
      <c r="G30" s="10" t="inlineStr">
        <is>
          <t>no</t>
        </is>
      </c>
    </row>
    <row r="31">
      <c r="A31" s="10" t="inlineStr">
        <is>
          <t>demo_d2_apr</t>
        </is>
      </c>
      <c r="B31" s="10" t="inlineStr">
        <is>
          <t>D2</t>
        </is>
      </c>
      <c r="C31" s="10" t="inlineStr">
        <is>
          <t>VAT</t>
        </is>
      </c>
      <c r="D31" s="10" t="inlineStr">
        <is>
          <t>VAT 6%</t>
        </is>
      </c>
      <c r="E31" s="10" t="inlineStr">
        <is>
          <t>6% x 66.05</t>
        </is>
      </c>
      <c r="F31" s="12" t="n">
        <v>3.96</v>
      </c>
      <c r="G31" s="10" t="inlineStr">
        <is>
          <t>no (follows A)</t>
        </is>
      </c>
    </row>
    <row r="33">
      <c r="A33" s="10" t="inlineStr">
        <is>
          <t>demo_d2_may</t>
        </is>
      </c>
      <c r="B33" s="10" t="inlineStr">
        <is>
          <t>D2</t>
        </is>
      </c>
      <c r="C33" s="10" t="inlineStr">
        <is>
          <t>A Supply</t>
        </is>
      </c>
      <c r="D33" s="10" t="inlineStr">
        <is>
          <t>Paygio (fixed)</t>
        </is>
      </c>
      <c r="E33" s="10" t="inlineStr">
        <is>
          <t>5.50€ for 31d</t>
        </is>
      </c>
      <c r="F33" s="12" t="n">
        <v>5.5</v>
      </c>
      <c r="G33" s="13" t="inlineStr">
        <is>
          <t>YES</t>
        </is>
      </c>
    </row>
    <row r="34">
      <c r="A34" s="10" t="inlineStr">
        <is>
          <t>demo_d2_may</t>
        </is>
      </c>
      <c r="B34" s="10" t="inlineStr">
        <is>
          <t>D2</t>
        </is>
      </c>
      <c r="C34" s="10" t="inlineStr">
        <is>
          <t>A Supply</t>
        </is>
      </c>
      <c r="D34" s="10" t="inlineStr">
        <is>
          <t>Energy</t>
        </is>
      </c>
      <c r="E34" s="10" t="inlineStr">
        <is>
          <t>300 kWh x 0.157 €/kWh</t>
        </is>
      </c>
      <c r="F34" s="12" t="n">
        <v>47.1</v>
      </c>
      <c r="G34" s="13" t="inlineStr">
        <is>
          <t>YES</t>
        </is>
      </c>
    </row>
    <row r="35">
      <c r="A35" s="10" t="inlineStr">
        <is>
          <t>demo_d2_may</t>
        </is>
      </c>
      <c r="B35" s="10" t="inlineStr">
        <is>
          <t>D2</t>
        </is>
      </c>
      <c r="C35" s="10" t="inlineStr">
        <is>
          <t>B Regulated</t>
        </is>
      </c>
      <c r="D35" s="10" t="inlineStr">
        <is>
          <t>ADMIE+DEDDIE+ETMEAR+YKO</t>
        </is>
      </c>
      <c r="E35" s="10" t="inlineStr">
        <is>
          <t>transmission+distribution+RES levy+PSO (regulated)</t>
        </is>
      </c>
      <c r="F35" s="12" t="n">
        <v>15.89</v>
      </c>
      <c r="G35" s="10" t="inlineStr">
        <is>
          <t>no</t>
        </is>
      </c>
    </row>
    <row r="36">
      <c r="A36" s="10" t="inlineStr">
        <is>
          <t>demo_d2_may</t>
        </is>
      </c>
      <c r="B36" s="10" t="inlineStr">
        <is>
          <t>D2</t>
        </is>
      </c>
      <c r="C36" s="10" t="inlineStr">
        <is>
          <t>Taxes</t>
        </is>
      </c>
      <c r="D36" s="10" t="inlineStr">
        <is>
          <t>EFK (excise)</t>
        </is>
      </c>
      <c r="E36" s="10" t="inlineStr">
        <is>
          <t>0.66 (in VAT base)</t>
        </is>
      </c>
      <c r="F36" s="12" t="n">
        <v>0.66</v>
      </c>
      <c r="G36" s="10" t="inlineStr">
        <is>
          <t>no</t>
        </is>
      </c>
    </row>
    <row r="37">
      <c r="A37" s="10" t="inlineStr">
        <is>
          <t>demo_d2_may</t>
        </is>
      </c>
      <c r="B37" s="10" t="inlineStr">
        <is>
          <t>D2</t>
        </is>
      </c>
      <c r="C37" s="10" t="inlineStr">
        <is>
          <t>Taxes</t>
        </is>
      </c>
      <c r="D37" s="10" t="inlineStr">
        <is>
          <t>Special levy 5‰</t>
        </is>
      </c>
      <c r="E37" s="10" t="inlineStr">
        <is>
          <t>0.5% of energy value</t>
        </is>
      </c>
      <c r="F37" s="12" t="n">
        <v>0.24</v>
      </c>
      <c r="G37" s="10" t="inlineStr">
        <is>
          <t>no</t>
        </is>
      </c>
    </row>
    <row r="38">
      <c r="A38" s="10" t="inlineStr">
        <is>
          <t>demo_d2_may</t>
        </is>
      </c>
      <c r="B38" s="10" t="inlineStr">
        <is>
          <t>D2</t>
        </is>
      </c>
      <c r="C38" s="10" t="inlineStr">
        <is>
          <t>Municipal</t>
        </is>
      </c>
      <c r="D38" s="10" t="inlineStr">
        <is>
          <t>DT+DF+TAP (Dimos)</t>
        </is>
      </c>
      <c r="E38" s="10" t="inlineStr">
        <is>
          <t>per m2 / municipality</t>
        </is>
      </c>
      <c r="F38" s="12" t="n">
        <v>5.2</v>
      </c>
      <c r="G38" s="10" t="inlineStr">
        <is>
          <t>no</t>
        </is>
      </c>
    </row>
    <row r="39">
      <c r="A39" s="10" t="inlineStr">
        <is>
          <t>demo_d2_may</t>
        </is>
      </c>
      <c r="B39" s="10" t="inlineStr">
        <is>
          <t>D2</t>
        </is>
      </c>
      <c r="C39" s="10" t="inlineStr">
        <is>
          <t>ERT</t>
        </is>
      </c>
      <c r="D39" s="10" t="inlineStr">
        <is>
          <t>ERT levy</t>
        </is>
      </c>
      <c r="E39" s="10" t="inlineStr">
        <is>
          <t>36€/yr prorated</t>
        </is>
      </c>
      <c r="F39" s="12" t="n">
        <v>3.06</v>
      </c>
      <c r="G39" s="10" t="inlineStr">
        <is>
          <t>no</t>
        </is>
      </c>
    </row>
    <row r="40">
      <c r="A40" s="10" t="inlineStr">
        <is>
          <t>demo_d2_may</t>
        </is>
      </c>
      <c r="B40" s="10" t="inlineStr">
        <is>
          <t>D2</t>
        </is>
      </c>
      <c r="C40" s="10" t="inlineStr">
        <is>
          <t>VAT</t>
        </is>
      </c>
      <c r="D40" s="10" t="inlineStr">
        <is>
          <t>VAT 6%</t>
        </is>
      </c>
      <c r="E40" s="10" t="inlineStr">
        <is>
          <t>6% x 69.15</t>
        </is>
      </c>
      <c r="F40" s="12" t="n">
        <v>4.15</v>
      </c>
      <c r="G40" s="10" t="inlineStr">
        <is>
          <t>no (follows A)</t>
        </is>
      </c>
    </row>
    <row r="42">
      <c r="A42" s="10" t="inlineStr">
        <is>
          <t>demo_d3_apr</t>
        </is>
      </c>
      <c r="B42" s="10" t="inlineStr">
        <is>
          <t>D3</t>
        </is>
      </c>
      <c r="C42" s="10" t="inlineStr">
        <is>
          <t>A Supply</t>
        </is>
      </c>
      <c r="D42" s="10" t="inlineStr">
        <is>
          <t>Paygio (fixed)</t>
        </is>
      </c>
      <c r="E42" s="10" t="inlineStr">
        <is>
          <t>5.50€ for 30d</t>
        </is>
      </c>
      <c r="F42" s="12" t="n">
        <v>5.5</v>
      </c>
      <c r="G42" s="13" t="inlineStr">
        <is>
          <t>YES</t>
        </is>
      </c>
    </row>
    <row r="43">
      <c r="A43" s="10" t="inlineStr">
        <is>
          <t>demo_d3_apr</t>
        </is>
      </c>
      <c r="B43" s="10" t="inlineStr">
        <is>
          <t>D3</t>
        </is>
      </c>
      <c r="C43" s="10" t="inlineStr">
        <is>
          <t>A Supply</t>
        </is>
      </c>
      <c r="D43" s="10" t="inlineStr">
        <is>
          <t>Energy</t>
        </is>
      </c>
      <c r="E43" s="10" t="inlineStr">
        <is>
          <t>680 kWh x 0.168 €/kWh</t>
        </is>
      </c>
      <c r="F43" s="12" t="n">
        <v>114.24</v>
      </c>
      <c r="G43" s="13" t="inlineStr">
        <is>
          <t>YES</t>
        </is>
      </c>
    </row>
    <row r="44">
      <c r="A44" s="10" t="inlineStr">
        <is>
          <t>demo_d3_apr</t>
        </is>
      </c>
      <c r="B44" s="10" t="inlineStr">
        <is>
          <t>D3</t>
        </is>
      </c>
      <c r="C44" s="10" t="inlineStr">
        <is>
          <t>B Regulated</t>
        </is>
      </c>
      <c r="D44" s="10" t="inlineStr">
        <is>
          <t>ADMIE+DEDDIE+ETMEAR+YKO</t>
        </is>
      </c>
      <c r="E44" s="10" t="inlineStr">
        <is>
          <t>transmission+distribution+RES levy+PSO (regulated)</t>
        </is>
      </c>
      <c r="F44" s="12" t="n">
        <v>49.74</v>
      </c>
      <c r="G44" s="10" t="inlineStr">
        <is>
          <t>no</t>
        </is>
      </c>
    </row>
    <row r="45">
      <c r="A45" s="10" t="inlineStr">
        <is>
          <t>demo_d3_apr</t>
        </is>
      </c>
      <c r="B45" s="10" t="inlineStr">
        <is>
          <t>D3</t>
        </is>
      </c>
      <c r="C45" s="10" t="inlineStr">
        <is>
          <t>Taxes</t>
        </is>
      </c>
      <c r="D45" s="10" t="inlineStr">
        <is>
          <t>EFK (excise)</t>
        </is>
      </c>
      <c r="E45" s="10" t="inlineStr">
        <is>
          <t>3.40 (in VAT base)</t>
        </is>
      </c>
      <c r="F45" s="12" t="n">
        <v>3.4</v>
      </c>
      <c r="G45" s="10" t="inlineStr">
        <is>
          <t>no</t>
        </is>
      </c>
    </row>
    <row r="46">
      <c r="A46" s="10" t="inlineStr">
        <is>
          <t>demo_d3_apr</t>
        </is>
      </c>
      <c r="B46" s="10" t="inlineStr">
        <is>
          <t>D3</t>
        </is>
      </c>
      <c r="C46" s="10" t="inlineStr">
        <is>
          <t>Taxes</t>
        </is>
      </c>
      <c r="D46" s="10" t="inlineStr">
        <is>
          <t>Special levy 5‰</t>
        </is>
      </c>
      <c r="E46" s="10" t="inlineStr">
        <is>
          <t>0.5% of energy value</t>
        </is>
      </c>
      <c r="F46" s="12" t="n">
        <v>0.57</v>
      </c>
      <c r="G46" s="10" t="inlineStr">
        <is>
          <t>no</t>
        </is>
      </c>
    </row>
    <row r="47">
      <c r="A47" s="10" t="inlineStr">
        <is>
          <t>demo_d3_apr</t>
        </is>
      </c>
      <c r="B47" s="10" t="inlineStr">
        <is>
          <t>D3</t>
        </is>
      </c>
      <c r="C47" s="10" t="inlineStr">
        <is>
          <t>Municipal</t>
        </is>
      </c>
      <c r="D47" s="10" t="inlineStr">
        <is>
          <t>DT+DF+TAP (Dimos)</t>
        </is>
      </c>
      <c r="E47" s="10" t="inlineStr">
        <is>
          <t>per m2 / municipality</t>
        </is>
      </c>
      <c r="F47" s="12" t="n">
        <v>2</v>
      </c>
      <c r="G47" s="10" t="inlineStr">
        <is>
          <t>no</t>
        </is>
      </c>
    </row>
    <row r="48">
      <c r="A48" s="10" t="inlineStr">
        <is>
          <t>demo_d3_apr</t>
        </is>
      </c>
      <c r="B48" s="10" t="inlineStr">
        <is>
          <t>D3</t>
        </is>
      </c>
      <c r="C48" s="10" t="inlineStr">
        <is>
          <t>ERT</t>
        </is>
      </c>
      <c r="D48" s="10" t="inlineStr">
        <is>
          <t>ERT levy</t>
        </is>
      </c>
      <c r="E48" s="10" t="inlineStr">
        <is>
          <t>36€/yr prorated</t>
        </is>
      </c>
      <c r="F48" s="12" t="n">
        <v>0</v>
      </c>
      <c r="G48" s="10" t="inlineStr">
        <is>
          <t>no</t>
        </is>
      </c>
    </row>
    <row r="49">
      <c r="A49" s="10" t="inlineStr">
        <is>
          <t>demo_d3_apr</t>
        </is>
      </c>
      <c r="B49" s="10" t="inlineStr">
        <is>
          <t>D3</t>
        </is>
      </c>
      <c r="C49" s="10" t="inlineStr">
        <is>
          <t>VAT</t>
        </is>
      </c>
      <c r="D49" s="10" t="inlineStr">
        <is>
          <t>VAT 6%</t>
        </is>
      </c>
      <c r="E49" s="10" t="inlineStr">
        <is>
          <t>6% x 172.88</t>
        </is>
      </c>
      <c r="F49" s="12" t="n">
        <v>10.37</v>
      </c>
      <c r="G49" s="10" t="inlineStr">
        <is>
          <t>no (follows A)</t>
        </is>
      </c>
    </row>
    <row r="51">
      <c r="A51" s="10" t="inlineStr">
        <is>
          <t>demo_d3_may</t>
        </is>
      </c>
      <c r="B51" s="10" t="inlineStr">
        <is>
          <t>D3</t>
        </is>
      </c>
      <c r="C51" s="10" t="inlineStr">
        <is>
          <t>A Supply</t>
        </is>
      </c>
      <c r="D51" s="10" t="inlineStr">
        <is>
          <t>Paygio (fixed)</t>
        </is>
      </c>
      <c r="E51" s="10" t="inlineStr">
        <is>
          <t>5.50€ for 31d</t>
        </is>
      </c>
      <c r="F51" s="12" t="n">
        <v>5.5</v>
      </c>
      <c r="G51" s="13" t="inlineStr">
        <is>
          <t>YES</t>
        </is>
      </c>
    </row>
    <row r="52">
      <c r="A52" s="10" t="inlineStr">
        <is>
          <t>demo_d3_may</t>
        </is>
      </c>
      <c r="B52" s="10" t="inlineStr">
        <is>
          <t>D3</t>
        </is>
      </c>
      <c r="C52" s="10" t="inlineStr">
        <is>
          <t>A Supply</t>
        </is>
      </c>
      <c r="D52" s="10" t="inlineStr">
        <is>
          <t>Energy</t>
        </is>
      </c>
      <c r="E52" s="10" t="inlineStr">
        <is>
          <t>720 kWh x 0.168 €/kWh</t>
        </is>
      </c>
      <c r="F52" s="12" t="n">
        <v>120.96</v>
      </c>
      <c r="G52" s="13" t="inlineStr">
        <is>
          <t>YES</t>
        </is>
      </c>
    </row>
    <row r="53">
      <c r="A53" s="10" t="inlineStr">
        <is>
          <t>demo_d3_may</t>
        </is>
      </c>
      <c r="B53" s="10" t="inlineStr">
        <is>
          <t>D3</t>
        </is>
      </c>
      <c r="C53" s="10" t="inlineStr">
        <is>
          <t>B Regulated</t>
        </is>
      </c>
      <c r="D53" s="10" t="inlineStr">
        <is>
          <t>ADMIE+DEDDIE+ETMEAR+YKO</t>
        </is>
      </c>
      <c r="E53" s="10" t="inlineStr">
        <is>
          <t>transmission+distribution+RES levy+PSO (regulated)</t>
        </is>
      </c>
      <c r="F53" s="12" t="n">
        <v>52.08</v>
      </c>
      <c r="G53" s="10" t="inlineStr">
        <is>
          <t>no</t>
        </is>
      </c>
    </row>
    <row r="54">
      <c r="A54" s="10" t="inlineStr">
        <is>
          <t>demo_d3_may</t>
        </is>
      </c>
      <c r="B54" s="10" t="inlineStr">
        <is>
          <t>D3</t>
        </is>
      </c>
      <c r="C54" s="10" t="inlineStr">
        <is>
          <t>Taxes</t>
        </is>
      </c>
      <c r="D54" s="10" t="inlineStr">
        <is>
          <t>EFK (excise)</t>
        </is>
      </c>
      <c r="E54" s="10" t="inlineStr">
        <is>
          <t>3.60 (in VAT base)</t>
        </is>
      </c>
      <c r="F54" s="12" t="n">
        <v>3.6</v>
      </c>
      <c r="G54" s="10" t="inlineStr">
        <is>
          <t>no</t>
        </is>
      </c>
    </row>
    <row r="55">
      <c r="A55" s="10" t="inlineStr">
        <is>
          <t>demo_d3_may</t>
        </is>
      </c>
      <c r="B55" s="10" t="inlineStr">
        <is>
          <t>D3</t>
        </is>
      </c>
      <c r="C55" s="10" t="inlineStr">
        <is>
          <t>Taxes</t>
        </is>
      </c>
      <c r="D55" s="10" t="inlineStr">
        <is>
          <t>Special levy 5‰</t>
        </is>
      </c>
      <c r="E55" s="10" t="inlineStr">
        <is>
          <t>0.5% of energy value</t>
        </is>
      </c>
      <c r="F55" s="12" t="n">
        <v>0.6</v>
      </c>
      <c r="G55" s="10" t="inlineStr">
        <is>
          <t>no</t>
        </is>
      </c>
    </row>
    <row r="56">
      <c r="A56" s="10" t="inlineStr">
        <is>
          <t>demo_d3_may</t>
        </is>
      </c>
      <c r="B56" s="10" t="inlineStr">
        <is>
          <t>D3</t>
        </is>
      </c>
      <c r="C56" s="10" t="inlineStr">
        <is>
          <t>Municipal</t>
        </is>
      </c>
      <c r="D56" s="10" t="inlineStr">
        <is>
          <t>DT+DF+TAP (Dimos)</t>
        </is>
      </c>
      <c r="E56" s="10" t="inlineStr">
        <is>
          <t>per m2 / municipality</t>
        </is>
      </c>
      <c r="F56" s="12" t="n">
        <v>2.1</v>
      </c>
      <c r="G56" s="10" t="inlineStr">
        <is>
          <t>no</t>
        </is>
      </c>
    </row>
    <row r="57">
      <c r="A57" s="10" t="inlineStr">
        <is>
          <t>demo_d3_may</t>
        </is>
      </c>
      <c r="B57" s="10" t="inlineStr">
        <is>
          <t>D3</t>
        </is>
      </c>
      <c r="C57" s="10" t="inlineStr">
        <is>
          <t>ERT</t>
        </is>
      </c>
      <c r="D57" s="10" t="inlineStr">
        <is>
          <t>ERT levy</t>
        </is>
      </c>
      <c r="E57" s="10" t="inlineStr">
        <is>
          <t>36€/yr prorated</t>
        </is>
      </c>
      <c r="F57" s="12" t="n">
        <v>0</v>
      </c>
      <c r="G57" s="10" t="inlineStr">
        <is>
          <t>no</t>
        </is>
      </c>
    </row>
    <row r="58">
      <c r="A58" s="10" t="inlineStr">
        <is>
          <t>demo_d3_may</t>
        </is>
      </c>
      <c r="B58" s="10" t="inlineStr">
        <is>
          <t>D3</t>
        </is>
      </c>
      <c r="C58" s="10" t="inlineStr">
        <is>
          <t>VAT</t>
        </is>
      </c>
      <c r="D58" s="10" t="inlineStr">
        <is>
          <t>VAT 6%</t>
        </is>
      </c>
      <c r="E58" s="10" t="inlineStr">
        <is>
          <t>6% x 182.14</t>
        </is>
      </c>
      <c r="F58" s="12" t="n">
        <v>10.93</v>
      </c>
      <c r="G58" s="10" t="inlineStr">
        <is>
          <t>no (follows 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28" customWidth="1" min="4" max="4"/>
    <col width="22" customWidth="1" min="5" max="5"/>
    <col width="26" customWidth="1" min="6" max="6"/>
    <col width="40" customWidth="1" min="7" max="7"/>
  </cols>
  <sheetData>
    <row r="1">
      <c r="A1" s="1" t="inlineStr">
        <is>
          <t>Fee_Model — how each charge is calculated and whether switching provider changes it</t>
        </is>
      </c>
    </row>
    <row r="3">
      <c r="A3" s="2" t="inlineStr">
        <is>
          <t>Charge</t>
        </is>
      </c>
      <c r="B3" s="2" t="inlineStr">
        <is>
          <t>What it is</t>
        </is>
      </c>
      <c r="C3" s="2" t="inlineStr">
        <is>
          <t>Who charges</t>
        </is>
      </c>
      <c r="D3" s="2" t="inlineStr">
        <is>
          <t>Basis (depends on)</t>
        </is>
      </c>
      <c r="E3" s="2" t="inlineStr">
        <is>
          <t>Changes with provider?</t>
        </is>
      </c>
      <c r="F3" s="2" t="inlineStr">
        <is>
          <t>Avoidable/reducible?</t>
        </is>
      </c>
      <c r="G3" s="2" t="inlineStr">
        <is>
          <t>How modelled in Excel</t>
        </is>
      </c>
    </row>
    <row r="4">
      <c r="A4" s="10" t="inlineStr">
        <is>
          <t>Paygio (fixed supply fee)</t>
        </is>
      </c>
      <c r="B4" s="10" t="inlineStr">
        <is>
          <t>Monthly standing charge of the supplier</t>
        </is>
      </c>
      <c r="C4" s="10" t="inlineStr">
        <is>
          <t>Supplier (DEH/HERON/...)</t>
        </is>
      </c>
      <c r="D4" s="10" t="inlineStr">
        <is>
          <t>Days (prorated)</t>
        </is>
      </c>
      <c r="E4" s="13" t="inlineStr">
        <is>
          <t>YES</t>
        </is>
      </c>
      <c r="F4" s="10" t="inlineStr">
        <is>
          <t>Yes – pick low/zero-paygio offer</t>
        </is>
      </c>
      <c r="G4" s="10" t="inlineStr">
        <is>
          <t>paygio_monthly × days/30</t>
        </is>
      </c>
    </row>
    <row r="5">
      <c r="A5" s="10" t="inlineStr">
        <is>
          <t>Energy charge</t>
        </is>
      </c>
      <c r="B5" s="10" t="inlineStr">
        <is>
          <t>Competitive price for kWh consumed</t>
        </is>
      </c>
      <c r="C5" s="10" t="inlineStr">
        <is>
          <t>Supplier</t>
        </is>
      </c>
      <c r="D5" s="10" t="inlineStr">
        <is>
          <t>kWh (× day/night if dual)</t>
        </is>
      </c>
      <c r="E5" s="13" t="inlineStr">
        <is>
          <t>YES</t>
        </is>
      </c>
      <c r="F5" s="10" t="inlineStr">
        <is>
          <t>Yes – core of the comparison</t>
        </is>
      </c>
      <c r="G5" s="10" t="inlineStr">
        <is>
          <t>kWh × rate (×(1-disc))</t>
        </is>
      </c>
    </row>
    <row r="6">
      <c r="A6" s="10" t="inlineStr">
        <is>
          <t>Market adjustment clause (Diakymansi Kostous Agoras / ritra)</t>
        </is>
      </c>
      <c r="B6" s="10" t="inlineStr">
        <is>
          <t>Pass-through of wholesale market cost on floating products</t>
        </is>
      </c>
      <c r="C6" s="10" t="inlineStr">
        <is>
          <t>Supplier</t>
        </is>
      </c>
      <c r="D6" s="10" t="inlineStr">
        <is>
          <t>kWh</t>
        </is>
      </c>
      <c r="E6" s="13" t="inlineStr">
        <is>
          <t>YES</t>
        </is>
      </c>
      <c r="F6" s="10" t="inlineStr">
        <is>
          <t>Yes – fixed-price product removes it</t>
        </is>
      </c>
      <c r="G6" s="10" t="inlineStr">
        <is>
          <t>included in effective rate; 0 for fixed products</t>
        </is>
      </c>
    </row>
    <row r="7">
      <c r="A7" s="10" t="inlineStr">
        <is>
          <t>Loyalty / quantity / consistency discount</t>
        </is>
      </c>
      <c r="B7" s="10" t="inlineStr">
        <is>
          <t>Discount for staying / paying on time / direct debit</t>
        </is>
      </c>
      <c r="C7" s="10" t="inlineStr">
        <is>
          <t>Supplier</t>
        </is>
      </c>
      <c r="D7" s="10" t="inlineStr">
        <is>
          <t>% of energy or fixed</t>
        </is>
      </c>
      <c r="E7" s="13" t="inlineStr">
        <is>
          <t>YES</t>
        </is>
      </c>
      <c r="F7" s="10" t="inlineStr">
        <is>
          <t>Yes – maximise by qualifying</t>
        </is>
      </c>
      <c r="G7" s="10" t="inlineStr">
        <is>
          <t>applied as % off energy or fixed €</t>
        </is>
      </c>
    </row>
    <row r="8">
      <c r="A8" s="10" t="inlineStr">
        <is>
          <t>ADMIE (Transmission / Systima Metaforas)</t>
        </is>
      </c>
      <c r="B8" s="10" t="inlineStr">
        <is>
          <t>Use of the high-voltage transmission grid</t>
        </is>
      </c>
      <c r="C8" s="10" t="inlineStr">
        <is>
          <t>ADMIE (regulated)</t>
        </is>
      </c>
      <c r="D8" s="10" t="inlineStr">
        <is>
          <t>kWh (+kVA capacity)</t>
        </is>
      </c>
      <c r="E8" s="14" t="inlineStr">
        <is>
          <t>NO – same for all suppliers</t>
        </is>
      </c>
      <c r="F8" s="10" t="inlineStr">
        <is>
          <t>No</t>
        </is>
      </c>
      <c r="G8" s="10" t="inlineStr">
        <is>
          <t>kept as actual; pass-through unchanged</t>
        </is>
      </c>
    </row>
    <row r="9">
      <c r="A9" s="10" t="inlineStr">
        <is>
          <t>DEDDIE (Distribution / Diktyo Dianomis)</t>
        </is>
      </c>
      <c r="B9" s="10" t="inlineStr">
        <is>
          <t>Use of the low/medium-voltage distribution grid</t>
        </is>
      </c>
      <c r="C9" s="10" t="inlineStr">
        <is>
          <t>DEDDIE (regulated)</t>
        </is>
      </c>
      <c r="D9" s="10" t="inlineStr">
        <is>
          <t>kVA capacity × days + kWh</t>
        </is>
      </c>
      <c r="E9" s="14" t="inlineStr">
        <is>
          <t>NO – same for all</t>
        </is>
      </c>
      <c r="F9" s="10" t="inlineStr">
        <is>
          <t>No</t>
        </is>
      </c>
      <c r="G9" s="10" t="inlineStr">
        <is>
          <t>kept as actual; pass-through unchanged</t>
        </is>
      </c>
    </row>
    <row r="10">
      <c r="A10" s="10" t="inlineStr">
        <is>
          <t>ETMEAR</t>
        </is>
      </c>
      <c r="B10" s="10" t="inlineStr">
        <is>
          <t>Levy financing renewables (RES special account)</t>
        </is>
      </c>
      <c r="C10" s="10" t="inlineStr">
        <is>
          <t>State/regulated</t>
        </is>
      </c>
      <c r="D10" s="10" t="inlineStr">
        <is>
          <t>kWh</t>
        </is>
      </c>
      <c r="E10" s="14" t="inlineStr">
        <is>
          <t>NO – same for all</t>
        </is>
      </c>
      <c r="F10" s="10" t="inlineStr">
        <is>
          <t>No</t>
        </is>
      </c>
      <c r="G10" s="10" t="inlineStr">
        <is>
          <t>kept as actual (0.017 €/kWh observed)</t>
        </is>
      </c>
    </row>
    <row r="11">
      <c r="A11" s="10" t="inlineStr">
        <is>
          <t>YKO (Public Service Obligations)</t>
        </is>
      </c>
      <c r="B11" s="10" t="inlineStr">
        <is>
          <t>Funds subsidised tariffs/island supply</t>
        </is>
      </c>
      <c r="C11" s="10" t="inlineStr">
        <is>
          <t>State/regulated</t>
        </is>
      </c>
      <c r="D11" s="10" t="inlineStr">
        <is>
          <t>kWh (tiered; night band)</t>
        </is>
      </c>
      <c r="E11" s="14" t="inlineStr">
        <is>
          <t>NO – same for all</t>
        </is>
      </c>
      <c r="F11" s="10" t="inlineStr">
        <is>
          <t>No</t>
        </is>
      </c>
      <c r="G11" s="10" t="inlineStr">
        <is>
          <t>kept as actual</t>
        </is>
      </c>
    </row>
    <row r="12">
      <c r="A12" s="10" t="inlineStr">
        <is>
          <t>EFK (Excise / Eidikos Foros Katanalosis)</t>
        </is>
      </c>
      <c r="B12" s="10" t="inlineStr">
        <is>
          <t>State excise on electricity</t>
        </is>
      </c>
      <c r="C12" s="10" t="inlineStr">
        <is>
          <t>State</t>
        </is>
      </c>
      <c r="D12" s="10" t="inlineStr">
        <is>
          <t>kWh</t>
        </is>
      </c>
      <c r="E12" s="14" t="inlineStr">
        <is>
          <t>NO</t>
        </is>
      </c>
      <c r="F12" s="10" t="inlineStr">
        <is>
          <t>No</t>
        </is>
      </c>
      <c r="G12" s="10" t="inlineStr">
        <is>
          <t>0.0022 €/kWh resid., 0.005 business; in VAT base</t>
        </is>
      </c>
    </row>
    <row r="13">
      <c r="A13" s="10" t="inlineStr">
        <is>
          <t>Special levy 5‰ (N.2093/92)</t>
        </is>
      </c>
      <c r="B13" s="10" t="inlineStr">
        <is>
          <t>Stamp-type special duty</t>
        </is>
      </c>
      <c r="C13" s="10" t="inlineStr">
        <is>
          <t>State</t>
        </is>
      </c>
      <c r="D13" s="10" t="inlineStr">
        <is>
          <t>0.5% of energy value</t>
        </is>
      </c>
      <c r="E13" s="14" t="inlineStr">
        <is>
          <t>NO</t>
        </is>
      </c>
      <c r="F13" s="10" t="inlineStr">
        <is>
          <t>No</t>
        </is>
      </c>
      <c r="G13" s="10" t="inlineStr">
        <is>
          <t>kept as actual; outside VAT base</t>
        </is>
      </c>
    </row>
    <row r="14">
      <c r="A14" s="10" t="inlineStr">
        <is>
          <t>Municipal fees DT/DF (Dimotika Teli/Foros)</t>
        </is>
      </c>
      <c r="B14" s="10" t="inlineStr">
        <is>
          <t>Cleaning &amp; lighting municipal charge</t>
        </is>
      </c>
      <c r="C14" s="10" t="inlineStr">
        <is>
          <t>Municipality (collected via bill)</t>
        </is>
      </c>
      <c r="D14" s="10" t="inlineStr">
        <is>
          <t>m2 of property × municipal rate × days</t>
        </is>
      </c>
      <c r="E14" s="14" t="inlineStr">
        <is>
          <t>NO – property-based</t>
        </is>
      </c>
      <c r="F14" s="10" t="inlineStr">
        <is>
          <t>No (unless m2/municipality data wrong)</t>
        </is>
      </c>
      <c r="G14" s="10" t="inlineStr">
        <is>
          <t>kept as actual; outside VAT base</t>
        </is>
      </c>
    </row>
    <row r="15">
      <c r="A15" s="10" t="inlineStr">
        <is>
          <t>TAP (Telos Akinitis Periousias)</t>
        </is>
      </c>
      <c r="B15" s="10" t="inlineStr">
        <is>
          <t>Property tax 0.025-0.035% of zone value</t>
        </is>
      </c>
      <c r="C15" s="10" t="inlineStr">
        <is>
          <t>Municipality</t>
        </is>
      </c>
      <c r="D15" s="10" t="inlineStr">
        <is>
          <t>m2 × zone value × age × days</t>
        </is>
      </c>
      <c r="E15" s="14" t="inlineStr">
        <is>
          <t>NO – property-based</t>
        </is>
      </c>
      <c r="F15" s="10" t="inlineStr">
        <is>
          <t>No</t>
        </is>
      </c>
      <c r="G15" s="10" t="inlineStr">
        <is>
          <t>kept as actual</t>
        </is>
      </c>
    </row>
    <row r="16">
      <c r="A16" s="10" t="inlineStr">
        <is>
          <t>ERT levy</t>
        </is>
      </c>
      <c r="B16" s="10" t="inlineStr">
        <is>
          <t>Public broadcaster fee</t>
        </is>
      </c>
      <c r="C16" s="10" t="inlineStr">
        <is>
          <t>ERT (via bill)</t>
        </is>
      </c>
      <c r="D16" s="10" t="inlineStr">
        <is>
          <t>36 €/year prorated by days</t>
        </is>
      </c>
      <c r="E16" s="14" t="inlineStr">
        <is>
          <t>NO</t>
        </is>
      </c>
      <c r="F16" s="10" t="inlineStr">
        <is>
          <t>No</t>
        </is>
      </c>
      <c r="G16" s="10" t="inlineStr">
        <is>
          <t>kept as actual; outside VAT base</t>
        </is>
      </c>
    </row>
    <row r="17">
      <c r="A17" s="10" t="inlineStr">
        <is>
          <t>VAT (FPA)</t>
        </is>
      </c>
      <c r="B17" s="10" t="inlineStr">
        <is>
          <t>Value added tax on electricity</t>
        </is>
      </c>
      <c r="C17" s="10" t="inlineStr">
        <is>
          <t>State</t>
        </is>
      </c>
      <c r="D17" s="10" t="inlineStr">
        <is>
          <t>6% of (A + B + EFK)</t>
        </is>
      </c>
      <c r="E17" s="14" t="inlineStr">
        <is>
          <t>Indirectly – follows A</t>
        </is>
      </c>
      <c r="F17" s="10" t="inlineStr">
        <is>
          <t>Only via lowering A</t>
        </is>
      </c>
      <c r="G17" s="10" t="inlineStr">
        <is>
          <t>recomputed = 6% × (newA + B + EFK)</t>
        </is>
      </c>
    </row>
    <row r="18">
      <c r="A18" s="10" t="inlineStr">
        <is>
          <t>Government subsidy (Kratiki Epidotisi T.E.M.)</t>
        </is>
      </c>
      <c r="B18" s="10" t="inlineStr">
        <is>
          <t>Temporary state subsidy on energy when active</t>
        </is>
      </c>
      <c r="C18" s="10" t="inlineStr">
        <is>
          <t>State</t>
        </is>
      </c>
      <c r="D18" s="10" t="inlineStr">
        <is>
          <t>kWh when triggered</t>
        </is>
      </c>
      <c r="E18" s="14" t="inlineStr">
        <is>
          <t>Applies to all</t>
        </is>
      </c>
      <c r="F18" s="10" t="inlineStr">
        <is>
          <t>n/a</t>
        </is>
      </c>
      <c r="G18" s="10" t="inlineStr">
        <is>
          <t>0 in these bills (none active)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4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34" customWidth="1" min="12" max="12"/>
    <col width="12" customWidth="1" min="13" max="13"/>
    <col width="16" customWidth="1" min="14" max="14"/>
    <col width="16" customWidth="1" min="15" max="15"/>
    <col width="40" customWidth="1" min="16" max="16"/>
    <col width="11" customWidth="1" min="17" max="17"/>
  </cols>
  <sheetData>
    <row r="1">
      <c r="A1" s="1" t="inlineStr">
        <is>
          <t>Market_Offers — researched current Greek offers (see source URLs &amp; dates)</t>
        </is>
      </c>
    </row>
    <row r="3">
      <c r="A3" s="2" t="inlineStr">
        <is>
          <t>Offer ID</t>
        </is>
      </c>
      <c r="B3" s="2" t="inlineStr">
        <is>
          <t>Provider</t>
        </is>
      </c>
      <c r="C3" s="2" t="inlineStr">
        <is>
          <t>Product</t>
        </is>
      </c>
      <c r="D3" s="2" t="inlineStr">
        <is>
          <t>Color/Category</t>
        </is>
      </c>
      <c r="E3" s="2" t="inlineStr">
        <is>
          <t>Type</t>
        </is>
      </c>
      <c r="F3" s="2" t="inlineStr">
        <is>
          <t>Segment</t>
        </is>
      </c>
      <c r="G3" s="2" t="inlineStr">
        <is>
          <t>Energy €/kWh</t>
        </is>
      </c>
      <c r="H3" s="2" t="inlineStr">
        <is>
          <t>Night €/kWh</t>
        </is>
      </c>
      <c r="I3" s="2" t="inlineStr">
        <is>
          <t>Adj. clause?</t>
        </is>
      </c>
      <c r="J3" s="2" t="inlineStr">
        <is>
          <t>Paygio €/mo</t>
        </is>
      </c>
      <c r="K3" s="2" t="inlineStr">
        <is>
          <t>Net disc % (qualified)</t>
        </is>
      </c>
      <c r="L3" s="2" t="inlineStr">
        <is>
          <t>Disc conditions</t>
        </is>
      </c>
      <c r="M3" s="2" t="inlineStr">
        <is>
          <t>Contract</t>
        </is>
      </c>
      <c r="N3" s="2" t="inlineStr">
        <is>
          <t>Exit penalty</t>
        </is>
      </c>
      <c r="O3" s="2" t="inlineStr">
        <is>
          <t>High-consumption OK?</t>
        </is>
      </c>
      <c r="P3" s="2" t="inlineStr">
        <is>
          <t>Source URL</t>
        </is>
      </c>
      <c r="Q3" s="2" t="inlineStr">
        <is>
          <t>Researched</t>
        </is>
      </c>
    </row>
    <row r="4">
      <c r="A4" s="10" t="inlineStr">
        <is>
          <t>OFF_FIXNIGHT</t>
        </is>
      </c>
      <c r="B4" s="10" t="inlineStr">
        <is>
          <t>Provider-A</t>
        </is>
      </c>
      <c r="C4" s="10" t="inlineStr">
        <is>
          <t>Fixed Night 24M (demo)</t>
        </is>
      </c>
      <c r="D4" s="10" t="inlineStr">
        <is>
          <t>Blue</t>
        </is>
      </c>
      <c r="E4" s="10" t="inlineStr">
        <is>
          <t>fixed-night</t>
        </is>
      </c>
      <c r="F4" s="10" t="inlineStr">
        <is>
          <t>resi-night</t>
        </is>
      </c>
      <c r="G4" s="15" t="n">
        <v>0.145</v>
      </c>
      <c r="H4" s="15" t="n">
        <v>0.105</v>
      </c>
      <c r="I4" s="10" t="inlineStr">
        <is>
          <t>no</t>
        </is>
      </c>
      <c r="J4" s="12" t="n">
        <v>9</v>
      </c>
      <c r="K4" s="16" t="n">
        <v>0</v>
      </c>
      <c r="L4" s="10" t="inlineStr">
        <is>
          <t>fixed; demo</t>
        </is>
      </c>
      <c r="M4" s="10" t="inlineStr">
        <is>
          <t>24 months fixed</t>
        </is>
      </c>
      <c r="N4" s="10" t="inlineStr">
        <is>
          <t>demo</t>
        </is>
      </c>
      <c r="O4" s="10" t="inlineStr">
        <is>
          <t>yes</t>
        </is>
      </c>
      <c r="P4" s="10" t="inlineStr">
        <is>
          <t>DEMO — verify on energycost.gr</t>
        </is>
      </c>
      <c r="Q4" s="10" t="inlineStr">
        <is>
          <t>2026-06-24</t>
        </is>
      </c>
    </row>
    <row r="5">
      <c r="A5" s="10" t="inlineStr">
        <is>
          <t>OFF_FLOATNIGHT</t>
        </is>
      </c>
      <c r="B5" s="10" t="inlineStr">
        <is>
          <t>Provider-C</t>
        </is>
      </c>
      <c r="C5" s="10" t="inlineStr">
        <is>
          <t>Floating Night (demo)</t>
        </is>
      </c>
      <c r="D5" s="10" t="inlineStr">
        <is>
          <t>Yellow</t>
        </is>
      </c>
      <c r="E5" s="10" t="inlineStr">
        <is>
          <t>floating-night</t>
        </is>
      </c>
      <c r="F5" s="10" t="inlineStr">
        <is>
          <t>resi-night</t>
        </is>
      </c>
      <c r="G5" s="15" t="n">
        <v>0.1133</v>
      </c>
      <c r="H5" s="15" t="n">
        <v>0.1033</v>
      </c>
      <c r="I5" s="10" t="inlineStr">
        <is>
          <t>yes</t>
        </is>
      </c>
      <c r="J5" s="12" t="n">
        <v>5</v>
      </c>
      <c r="K5" s="16" t="n">
        <v>0</v>
      </c>
      <c r="L5" s="10" t="inlineStr">
        <is>
          <t>reprices monthly; demo</t>
        </is>
      </c>
      <c r="M5" s="10" t="inlineStr">
        <is>
          <t>none</t>
        </is>
      </c>
      <c r="N5" s="10" t="inlineStr">
        <is>
          <t>none</t>
        </is>
      </c>
      <c r="O5" s="10" t="inlineStr">
        <is>
          <t>yes</t>
        </is>
      </c>
      <c r="P5" s="10" t="inlineStr">
        <is>
          <t>DEMO — verify on energycost.gr</t>
        </is>
      </c>
      <c r="Q5" s="10" t="inlineStr">
        <is>
          <t>2026-06-24</t>
        </is>
      </c>
    </row>
    <row r="6">
      <c r="A6" s="10" t="inlineStr">
        <is>
          <t>OFF_ZEROPAGIO</t>
        </is>
      </c>
      <c r="B6" s="10" t="inlineStr">
        <is>
          <t>Provider-D</t>
        </is>
      </c>
      <c r="C6" s="10" t="inlineStr">
        <is>
          <t>Zero-Paygio Home (demo)</t>
        </is>
      </c>
      <c r="D6" s="10" t="inlineStr">
        <is>
          <t>Yellow</t>
        </is>
      </c>
      <c r="E6" s="10" t="inlineStr">
        <is>
          <t>floating</t>
        </is>
      </c>
      <c r="F6" s="10" t="inlineStr">
        <is>
          <t>resi</t>
        </is>
      </c>
      <c r="G6" s="15" t="n">
        <v>0.134</v>
      </c>
      <c r="H6" s="15" t="n"/>
      <c r="I6" s="10" t="inlineStr">
        <is>
          <t>yes</t>
        </is>
      </c>
      <c r="J6" s="12" t="n">
        <v>0</v>
      </c>
      <c r="K6" s="16" t="n">
        <v>0</v>
      </c>
      <c r="L6" s="10" t="inlineStr">
        <is>
          <t>zero standing charge; demo</t>
        </is>
      </c>
      <c r="M6" s="10" t="inlineStr">
        <is>
          <t>none</t>
        </is>
      </c>
      <c r="N6" s="10" t="inlineStr">
        <is>
          <t>none</t>
        </is>
      </c>
      <c r="O6" s="10" t="inlineStr">
        <is>
          <t>yes</t>
        </is>
      </c>
      <c r="P6" s="10" t="inlineStr">
        <is>
          <t>DEMO — verify on energycost.gr</t>
        </is>
      </c>
      <c r="Q6" s="10" t="inlineStr">
        <is>
          <t>2026-06-24</t>
        </is>
      </c>
    </row>
    <row r="7">
      <c r="A7" s="10" t="inlineStr">
        <is>
          <t>OFF_FIXHOME</t>
        </is>
      </c>
      <c r="B7" s="10" t="inlineStr">
        <is>
          <t>Provider-E</t>
        </is>
      </c>
      <c r="C7" s="10" t="inlineStr">
        <is>
          <t>Fixed Home 12M (demo)</t>
        </is>
      </c>
      <c r="D7" s="10" t="inlineStr">
        <is>
          <t>Blue</t>
        </is>
      </c>
      <c r="E7" s="10" t="inlineStr">
        <is>
          <t>fixed</t>
        </is>
      </c>
      <c r="F7" s="10" t="inlineStr">
        <is>
          <t>resi</t>
        </is>
      </c>
      <c r="G7" s="15" t="n">
        <v>0.139</v>
      </c>
      <c r="H7" s="15" t="n"/>
      <c r="I7" s="10" t="inlineStr">
        <is>
          <t>no</t>
        </is>
      </c>
      <c r="J7" s="12" t="n">
        <v>9.9</v>
      </c>
      <c r="K7" s="16" t="n">
        <v>0</v>
      </c>
      <c r="L7" s="10" t="inlineStr">
        <is>
          <t>fixed; demo</t>
        </is>
      </c>
      <c r="M7" s="10" t="inlineStr">
        <is>
          <t>12 months fixed</t>
        </is>
      </c>
      <c r="N7" s="10" t="inlineStr">
        <is>
          <t>demo</t>
        </is>
      </c>
      <c r="O7" s="10" t="inlineStr">
        <is>
          <t>yes</t>
        </is>
      </c>
      <c r="P7" s="10" t="inlineStr">
        <is>
          <t>DEMO — verify on energycost.gr</t>
        </is>
      </c>
      <c r="Q7" s="10" t="inlineStr">
        <is>
          <t>2026-06-24</t>
        </is>
      </c>
    </row>
    <row r="8">
      <c r="A8" s="10" t="inlineStr">
        <is>
          <t>OFF_COSTPLUS</t>
        </is>
      </c>
      <c r="B8" s="10" t="inlineStr">
        <is>
          <t>Provider-C</t>
        </is>
      </c>
      <c r="C8" s="10" t="inlineStr">
        <is>
          <t>Cost+ Home (demo)</t>
        </is>
      </c>
      <c r="D8" s="10" t="inlineStr">
        <is>
          <t>Yellow</t>
        </is>
      </c>
      <c r="E8" s="10" t="inlineStr">
        <is>
          <t>floating</t>
        </is>
      </c>
      <c r="F8" s="10" t="inlineStr">
        <is>
          <t>resi</t>
        </is>
      </c>
      <c r="G8" s="15" t="n">
        <v>0.122</v>
      </c>
      <c r="H8" s="15" t="n"/>
      <c r="I8" s="10" t="inlineStr">
        <is>
          <t>yes</t>
        </is>
      </c>
      <c r="J8" s="12" t="n">
        <v>7.1</v>
      </c>
      <c r="K8" s="16" t="n">
        <v>0</v>
      </c>
      <c r="L8" s="10" t="inlineStr">
        <is>
          <t>cost-plus floating; demo</t>
        </is>
      </c>
      <c r="M8" s="10" t="inlineStr">
        <is>
          <t>none</t>
        </is>
      </c>
      <c r="N8" s="10" t="inlineStr">
        <is>
          <t>none</t>
        </is>
      </c>
      <c r="O8" s="10" t="inlineStr">
        <is>
          <t>yes</t>
        </is>
      </c>
      <c r="P8" s="10" t="inlineStr">
        <is>
          <t>DEMO — verify on energycost.gr</t>
        </is>
      </c>
      <c r="Q8" s="10" t="inlineStr">
        <is>
          <t>2026-06-24</t>
        </is>
      </c>
    </row>
    <row r="9">
      <c r="A9" s="10" t="inlineStr">
        <is>
          <t>OFF_BUSGREEN</t>
        </is>
      </c>
      <c r="B9" s="10" t="inlineStr">
        <is>
          <t>Provider-D</t>
        </is>
      </c>
      <c r="C9" s="10" t="inlineStr">
        <is>
          <t>Business Green (demo)</t>
        </is>
      </c>
      <c r="D9" s="10" t="inlineStr">
        <is>
          <t>Green</t>
        </is>
      </c>
      <c r="E9" s="10" t="inlineStr">
        <is>
          <t>floating-business</t>
        </is>
      </c>
      <c r="F9" s="10" t="inlineStr">
        <is>
          <t>business</t>
        </is>
      </c>
      <c r="G9" s="15" t="n">
        <v>0.118</v>
      </c>
      <c r="H9" s="15" t="n"/>
      <c r="I9" s="10" t="inlineStr">
        <is>
          <t>yes</t>
        </is>
      </c>
      <c r="J9" s="12" t="n">
        <v>0</v>
      </c>
      <c r="K9" s="16" t="n">
        <v>0</v>
      </c>
      <c r="L9" s="10" t="inlineStr">
        <is>
          <t>low-margin business green; CONFIRM it accepts a koinochrista meter (demo)</t>
        </is>
      </c>
      <c r="M9" s="10" t="inlineStr">
        <is>
          <t>none</t>
        </is>
      </c>
      <c r="N9" s="10" t="inlineStr">
        <is>
          <t>none</t>
        </is>
      </c>
      <c r="O9" s="10" t="inlineStr">
        <is>
          <t>yes</t>
        </is>
      </c>
      <c r="P9" s="10" t="inlineStr">
        <is>
          <t>DEMO — verify on energycost.gr</t>
        </is>
      </c>
      <c r="Q9" s="10" t="inlineStr">
        <is>
          <t>2026-06-24</t>
        </is>
      </c>
    </row>
    <row r="10">
      <c r="A10" s="10" t="inlineStr">
        <is>
          <t>OFF_BUSSAVER</t>
        </is>
      </c>
      <c r="B10" s="10" t="inlineStr">
        <is>
          <t>Provider-B</t>
        </is>
      </c>
      <c r="C10" s="10" t="inlineStr">
        <is>
          <t>Business Saver (demo)</t>
        </is>
      </c>
      <c r="D10" s="10" t="inlineStr">
        <is>
          <t>Yellow</t>
        </is>
      </c>
      <c r="E10" s="10" t="inlineStr">
        <is>
          <t>floating-business</t>
        </is>
      </c>
      <c r="F10" s="10" t="inlineStr">
        <is>
          <t>business</t>
        </is>
      </c>
      <c r="G10" s="15" t="n">
        <v>0.133</v>
      </c>
      <c r="H10" s="15" t="n"/>
      <c r="I10" s="10" t="inlineStr">
        <is>
          <t>yes</t>
        </is>
      </c>
      <c r="J10" s="12" t="n">
        <v>5.5</v>
      </c>
      <c r="K10" s="16" t="n">
        <v>0</v>
      </c>
      <c r="L10" s="10" t="inlineStr">
        <is>
          <t>common-areas &lt;=25kVA; demo</t>
        </is>
      </c>
      <c r="M10" s="10" t="inlineStr">
        <is>
          <t>none</t>
        </is>
      </c>
      <c r="N10" s="10" t="inlineStr">
        <is>
          <t>none</t>
        </is>
      </c>
      <c r="O10" s="10" t="inlineStr">
        <is>
          <t>yes</t>
        </is>
      </c>
      <c r="P10" s="10" t="inlineStr">
        <is>
          <t>DEMO — verify on energycost.gr</t>
        </is>
      </c>
      <c r="Q10" s="10" t="inlineStr">
        <is>
          <t>2026-06-24</t>
        </is>
      </c>
    </row>
    <row r="11">
      <c r="A11" s="10" t="inlineStr">
        <is>
          <t>OFF_BUSFIX</t>
        </is>
      </c>
      <c r="B11" s="10" t="inlineStr">
        <is>
          <t>Provider-E</t>
        </is>
      </c>
      <c r="C11" s="10" t="inlineStr">
        <is>
          <t>Business Fixed 12M (demo)</t>
        </is>
      </c>
      <c r="D11" s="10" t="inlineStr">
        <is>
          <t>Blue</t>
        </is>
      </c>
      <c r="E11" s="10" t="inlineStr">
        <is>
          <t>fixed-business</t>
        </is>
      </c>
      <c r="F11" s="10" t="inlineStr">
        <is>
          <t>business</t>
        </is>
      </c>
      <c r="G11" s="15" t="n">
        <v>0.17</v>
      </c>
      <c r="H11" s="15" t="n"/>
      <c r="I11" s="10" t="inlineStr">
        <is>
          <t>no</t>
        </is>
      </c>
      <c r="J11" s="12" t="n">
        <v>13.9</v>
      </c>
      <c r="K11" s="16" t="n">
        <v>0</v>
      </c>
      <c r="L11" s="10" t="inlineStr">
        <is>
          <t>fixed business; demo</t>
        </is>
      </c>
      <c r="M11" s="10" t="inlineStr">
        <is>
          <t>12 months fixed</t>
        </is>
      </c>
      <c r="N11" s="10" t="inlineStr">
        <is>
          <t>demo</t>
        </is>
      </c>
      <c r="O11" s="10" t="inlineStr">
        <is>
          <t>yes</t>
        </is>
      </c>
      <c r="P11" s="10" t="inlineStr">
        <is>
          <t>DEMO — verify on energycost.gr</t>
        </is>
      </c>
      <c r="Q11" s="10" t="inlineStr">
        <is>
          <t>2026-06-24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Scenario_Model — estimated ANNUAL competitive-supply cost (component A only) of each offer on each supply</t>
        </is>
      </c>
    </row>
    <row r="2">
      <c r="A2" s="9" t="inlineStr">
        <is>
          <t>Shows only the provider-dependent part (A = paygio + energy - discounts) annualised on each supply's sampled consumption (NB: scaled from a short, not-seasonally-representative sample). Regulated/municipal/ERT/taxes are identical across providers and are excluded here (they are added back in Backtest). Night-tariff supply S4 priced on TOTAL kWh at the offer's day rate unless the offer has a night rate (conservative).</t>
        </is>
      </c>
    </row>
    <row r="4">
      <c r="A4" s="2" t="inlineStr">
        <is>
          <t>Offer ID</t>
        </is>
      </c>
      <c r="B4" s="2" t="inlineStr">
        <is>
          <t>Provider</t>
        </is>
      </c>
      <c r="C4" s="2" t="inlineStr">
        <is>
          <t>Product</t>
        </is>
      </c>
      <c r="D4" s="2" t="inlineStr">
        <is>
          <t>D1 Prov ann.A €</t>
        </is>
      </c>
      <c r="E4" s="2" t="inlineStr">
        <is>
          <t>D2 Prov ann.A €</t>
        </is>
      </c>
      <c r="F4" s="2" t="inlineStr">
        <is>
          <t>D3 Prov ann.A €</t>
        </is>
      </c>
    </row>
    <row r="5">
      <c r="A5" s="3" t="inlineStr">
        <is>
          <t>OFF_FIXNIGHT</t>
        </is>
      </c>
      <c r="B5" s="3" t="inlineStr">
        <is>
          <t>Provider-A</t>
        </is>
      </c>
      <c r="C5" s="3" t="inlineStr">
        <is>
          <t>Fixed Night 24M (demo)</t>
        </is>
      </c>
      <c r="D5" s="6">
        <f>'Market_Offers'!J4*12 + IF('Market_Offers'!H4&gt;0,(8616.4*'Market_Offers'!G4+3051.6*'Market_Offers'!H4),11668.0*'Market_Offers'!G4)*(1-'Market_Offers'!K4)</f>
        <v/>
      </c>
      <c r="E5" s="6">
        <f>'Market_Offers'!J4*12 + IF('Market_Offers'!H4&gt;0,(3500.4*'Market_Offers'!G4+0.0*'Market_Offers'!H4),3500.4*'Market_Offers'!G4)*(1-'Market_Offers'!K4)</f>
        <v/>
      </c>
      <c r="F5" s="6">
        <f>'Market_Offers'!J4*12 + IF('Market_Offers'!H4&gt;0,(8377.0*'Market_Offers'!G4+0.0*'Market_Offers'!H4),8377.0*'Market_Offers'!G4)*(1-'Market_Offers'!K4)</f>
        <v/>
      </c>
    </row>
    <row r="6">
      <c r="A6" s="3" t="inlineStr">
        <is>
          <t>OFF_FLOATNIGHT</t>
        </is>
      </c>
      <c r="B6" s="3" t="inlineStr">
        <is>
          <t>Provider-C</t>
        </is>
      </c>
      <c r="C6" s="3" t="inlineStr">
        <is>
          <t>Floating Night (demo)</t>
        </is>
      </c>
      <c r="D6" s="6">
        <f>'Market_Offers'!J5*12 + IF('Market_Offers'!H5&gt;0,(8616.4*'Market_Offers'!G5+3051.6*'Market_Offers'!H5),11668.0*'Market_Offers'!G5)*(1-'Market_Offers'!K5)</f>
        <v/>
      </c>
      <c r="E6" s="6">
        <f>'Market_Offers'!J5*12 + IF('Market_Offers'!H5&gt;0,(3500.4*'Market_Offers'!G5+0.0*'Market_Offers'!H5),3500.4*'Market_Offers'!G5)*(1-'Market_Offers'!K5)</f>
        <v/>
      </c>
      <c r="F6" s="6">
        <f>'Market_Offers'!J5*12 + IF('Market_Offers'!H5&gt;0,(8377.0*'Market_Offers'!G5+0.0*'Market_Offers'!H5),8377.0*'Market_Offers'!G5)*(1-'Market_Offers'!K5)</f>
        <v/>
      </c>
    </row>
    <row r="7">
      <c r="A7" s="3" t="inlineStr">
        <is>
          <t>OFF_ZEROPAGIO</t>
        </is>
      </c>
      <c r="B7" s="3" t="inlineStr">
        <is>
          <t>Provider-D</t>
        </is>
      </c>
      <c r="C7" s="3" t="inlineStr">
        <is>
          <t>Zero-Paygio Home (demo)</t>
        </is>
      </c>
      <c r="D7" s="6">
        <f>'Market_Offers'!J6*12 + IF('Market_Offers'!H6&gt;0,(8616.4*'Market_Offers'!G6+3051.6*'Market_Offers'!H6),11668.0*'Market_Offers'!G6)*(1-'Market_Offers'!K6)</f>
        <v/>
      </c>
      <c r="E7" s="6">
        <f>'Market_Offers'!J6*12 + IF('Market_Offers'!H6&gt;0,(3500.4*'Market_Offers'!G6+0.0*'Market_Offers'!H6),3500.4*'Market_Offers'!G6)*(1-'Market_Offers'!K6)</f>
        <v/>
      </c>
      <c r="F7" s="6">
        <f>'Market_Offers'!J6*12 + IF('Market_Offers'!H6&gt;0,(8377.0*'Market_Offers'!G6+0.0*'Market_Offers'!H6),8377.0*'Market_Offers'!G6)*(1-'Market_Offers'!K6)</f>
        <v/>
      </c>
    </row>
    <row r="8">
      <c r="A8" s="3" t="inlineStr">
        <is>
          <t>OFF_FIXHOME</t>
        </is>
      </c>
      <c r="B8" s="3" t="inlineStr">
        <is>
          <t>Provider-E</t>
        </is>
      </c>
      <c r="C8" s="3" t="inlineStr">
        <is>
          <t>Fixed Home 12M (demo)</t>
        </is>
      </c>
      <c r="D8" s="6">
        <f>'Market_Offers'!J7*12 + IF('Market_Offers'!H7&gt;0,(8616.4*'Market_Offers'!G7+3051.6*'Market_Offers'!H7),11668.0*'Market_Offers'!G7)*(1-'Market_Offers'!K7)</f>
        <v/>
      </c>
      <c r="E8" s="6">
        <f>'Market_Offers'!J7*12 + IF('Market_Offers'!H7&gt;0,(3500.4*'Market_Offers'!G7+0.0*'Market_Offers'!H7),3500.4*'Market_Offers'!G7)*(1-'Market_Offers'!K7)</f>
        <v/>
      </c>
      <c r="F8" s="6">
        <f>'Market_Offers'!J7*12 + IF('Market_Offers'!H7&gt;0,(8377.0*'Market_Offers'!G7+0.0*'Market_Offers'!H7),8377.0*'Market_Offers'!G7)*(1-'Market_Offers'!K7)</f>
        <v/>
      </c>
    </row>
    <row r="9">
      <c r="A9" s="3" t="inlineStr">
        <is>
          <t>OFF_COSTPLUS</t>
        </is>
      </c>
      <c r="B9" s="3" t="inlineStr">
        <is>
          <t>Provider-C</t>
        </is>
      </c>
      <c r="C9" s="3" t="inlineStr">
        <is>
          <t>Cost+ Home (demo)</t>
        </is>
      </c>
      <c r="D9" s="6">
        <f>'Market_Offers'!J8*12 + IF('Market_Offers'!H8&gt;0,(8616.4*'Market_Offers'!G8+3051.6*'Market_Offers'!H8),11668.0*'Market_Offers'!G8)*(1-'Market_Offers'!K8)</f>
        <v/>
      </c>
      <c r="E9" s="6">
        <f>'Market_Offers'!J8*12 + IF('Market_Offers'!H8&gt;0,(3500.4*'Market_Offers'!G8+0.0*'Market_Offers'!H8),3500.4*'Market_Offers'!G8)*(1-'Market_Offers'!K8)</f>
        <v/>
      </c>
      <c r="F9" s="6">
        <f>'Market_Offers'!J8*12 + IF('Market_Offers'!H8&gt;0,(8377.0*'Market_Offers'!G8+0.0*'Market_Offers'!H8),8377.0*'Market_Offers'!G8)*(1-'Market_Offers'!K8)</f>
        <v/>
      </c>
    </row>
    <row r="10">
      <c r="A10" s="3" t="inlineStr">
        <is>
          <t>OFF_BUSGREEN</t>
        </is>
      </c>
      <c r="B10" s="3" t="inlineStr">
        <is>
          <t>Provider-D</t>
        </is>
      </c>
      <c r="C10" s="3" t="inlineStr">
        <is>
          <t>Business Green (demo)</t>
        </is>
      </c>
      <c r="D10" s="6">
        <f>'Market_Offers'!J9*12 + IF('Market_Offers'!H9&gt;0,(8616.4*'Market_Offers'!G9+3051.6*'Market_Offers'!H9),11668.0*'Market_Offers'!G9)*(1-'Market_Offers'!K9)</f>
        <v/>
      </c>
      <c r="E10" s="6">
        <f>'Market_Offers'!J9*12 + IF('Market_Offers'!H9&gt;0,(3500.4*'Market_Offers'!G9+0.0*'Market_Offers'!H9),3500.4*'Market_Offers'!G9)*(1-'Market_Offers'!K9)</f>
        <v/>
      </c>
      <c r="F10" s="6">
        <f>'Market_Offers'!J9*12 + IF('Market_Offers'!H9&gt;0,(8377.0*'Market_Offers'!G9+0.0*'Market_Offers'!H9),8377.0*'Market_Offers'!G9)*(1-'Market_Offers'!K9)</f>
        <v/>
      </c>
    </row>
    <row r="11">
      <c r="A11" s="3" t="inlineStr">
        <is>
          <t>OFF_BUSSAVER</t>
        </is>
      </c>
      <c r="B11" s="3" t="inlineStr">
        <is>
          <t>Provider-B</t>
        </is>
      </c>
      <c r="C11" s="3" t="inlineStr">
        <is>
          <t>Business Saver (demo)</t>
        </is>
      </c>
      <c r="D11" s="6">
        <f>'Market_Offers'!J10*12 + IF('Market_Offers'!H10&gt;0,(8616.4*'Market_Offers'!G10+3051.6*'Market_Offers'!H10),11668.0*'Market_Offers'!G10)*(1-'Market_Offers'!K10)</f>
        <v/>
      </c>
      <c r="E11" s="6">
        <f>'Market_Offers'!J10*12 + IF('Market_Offers'!H10&gt;0,(3500.4*'Market_Offers'!G10+0.0*'Market_Offers'!H10),3500.4*'Market_Offers'!G10)*(1-'Market_Offers'!K10)</f>
        <v/>
      </c>
      <c r="F11" s="6">
        <f>'Market_Offers'!J10*12 + IF('Market_Offers'!H10&gt;0,(8377.0*'Market_Offers'!G10+0.0*'Market_Offers'!H10),8377.0*'Market_Offers'!G10)*(1-'Market_Offers'!K10)</f>
        <v/>
      </c>
    </row>
    <row r="12">
      <c r="A12" s="3" t="inlineStr">
        <is>
          <t>OFF_BUSFIX</t>
        </is>
      </c>
      <c r="B12" s="3" t="inlineStr">
        <is>
          <t>Provider-E</t>
        </is>
      </c>
      <c r="C12" s="3" t="inlineStr">
        <is>
          <t>Business Fixed 12M (demo)</t>
        </is>
      </c>
      <c r="D12" s="6">
        <f>'Market_Offers'!J11*12 + IF('Market_Offers'!H11&gt;0,(8616.4*'Market_Offers'!G11+3051.6*'Market_Offers'!H11),11668.0*'Market_Offers'!G11)*(1-'Market_Offers'!K11)</f>
        <v/>
      </c>
      <c r="E12" s="6">
        <f>'Market_Offers'!J11*12 + IF('Market_Offers'!H11&gt;0,(3500.4*'Market_Offers'!G11+0.0*'Market_Offers'!H11),3500.4*'Market_Offers'!G11)*(1-'Market_Offers'!K11)</f>
        <v/>
      </c>
      <c r="F12" s="6">
        <f>'Market_Offers'!J11*12 + IF('Market_Offers'!H11&gt;0,(8377.0*'Market_Offers'!G11+0.0*'Market_Offers'!H11),8377.0*'Market_Offers'!G11)*(1-'Market_Offers'!K11)</f>
        <v/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6" customWidth="1" min="4" max="4"/>
    <col width="7" customWidth="1" min="5" max="5"/>
    <col width="11" customWidth="1" min="6" max="6"/>
    <col width="22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11" customWidth="1" min="13" max="13"/>
    <col width="10" customWidth="1" min="14" max="14"/>
  </cols>
  <sheetData>
    <row r="1">
      <c r="A1" s="1" t="inlineStr">
        <is>
          <t>Backtest — what each ACTUAL bill would have cost under the recommended alternative</t>
        </is>
      </c>
    </row>
    <row r="2">
      <c r="A2" s="9" t="inlineStr">
        <is>
          <t>Method: replace component A (supplier paygio+energy-discounts) with the recommended offer; keep B (regulated), municipal, ERT and taxes EXACTLY as billed; recompute VAT = 6% × (newA + B + EFK). 5d2516a2 uses gross reconstruction (its payable is net of a 224.95€ on-account charge). Change the offer rates in Market_Offers and this recalculates.</t>
        </is>
      </c>
    </row>
    <row r="4">
      <c r="A4" s="2" t="inlineStr">
        <is>
          <t>File</t>
        </is>
      </c>
      <c r="B4" s="2" t="inlineStr">
        <is>
          <t>Supply</t>
        </is>
      </c>
      <c r="C4" s="2" t="inlineStr">
        <is>
          <t>Rec. offer</t>
        </is>
      </c>
      <c r="D4" s="2" t="inlineStr">
        <is>
          <t>Days</t>
        </is>
      </c>
      <c r="E4" s="2" t="inlineStr">
        <is>
          <t>kWh</t>
        </is>
      </c>
      <c r="F4" s="2" t="inlineStr">
        <is>
          <t>Actual A €</t>
        </is>
      </c>
      <c r="G4" s="2" t="inlineStr">
        <is>
          <t>Fixed non-A (B+tax+muni+ERT) €</t>
        </is>
      </c>
      <c r="H4" s="2" t="inlineStr">
        <is>
          <t>Actual VAT €</t>
        </is>
      </c>
      <c r="I4" s="2" t="inlineStr">
        <is>
          <t>Actual total €</t>
        </is>
      </c>
      <c r="J4" s="2" t="inlineStr">
        <is>
          <t>New A €</t>
        </is>
      </c>
      <c r="K4" s="2" t="inlineStr">
        <is>
          <t>New VAT €</t>
        </is>
      </c>
      <c r="L4" s="2" t="inlineStr">
        <is>
          <t>New total €</t>
        </is>
      </c>
      <c r="M4" s="2" t="inlineStr">
        <is>
          <t>Saving €</t>
        </is>
      </c>
      <c r="N4" s="2" t="inlineStr">
        <is>
          <t>Saving %</t>
        </is>
      </c>
    </row>
    <row r="5">
      <c r="A5" s="3" t="inlineStr">
        <is>
          <t>demo_d1_apr</t>
        </is>
      </c>
      <c r="B5" s="3" t="inlineStr">
        <is>
          <t>D1</t>
        </is>
      </c>
      <c r="C5" s="3" t="inlineStr">
        <is>
          <t>OFF_FIXNIGHT</t>
        </is>
      </c>
      <c r="D5" s="3" t="n">
        <v>30</v>
      </c>
      <c r="E5" s="3" t="n">
        <v>950</v>
      </c>
      <c r="F5" s="6" t="n">
        <v>144.25</v>
      </c>
      <c r="G5" s="6" t="n">
        <v>106.56</v>
      </c>
      <c r="H5" s="6" t="n">
        <v>12.07</v>
      </c>
      <c r="I5" s="6" t="n">
        <v>262.88</v>
      </c>
      <c r="J5" s="6">
        <f>'Market_Offers'!J4*30/30 + IF('Market_Offers'!H4&gt;0,(700*'Market_Offers'!G4+250*'Market_Offers'!H4),950*'Market_Offers'!G4)*(1-'Market_Offers'!K4)</f>
        <v/>
      </c>
      <c r="K5" s="6">
        <f>0.06*(J5+56.90)</f>
        <v/>
      </c>
      <c r="L5" s="6">
        <f>106.56+J5+K5</f>
        <v/>
      </c>
      <c r="M5" s="6">
        <f>I5-L5</f>
        <v/>
      </c>
      <c r="N5" s="5">
        <f>IF(I5=0,0,M5/I5)</f>
        <v/>
      </c>
    </row>
    <row r="6">
      <c r="A6" s="3" t="inlineStr">
        <is>
          <t>demo_d1_may</t>
        </is>
      </c>
      <c r="B6" s="3" t="inlineStr">
        <is>
          <t>D1</t>
        </is>
      </c>
      <c r="C6" s="3" t="inlineStr">
        <is>
          <t>OFF_FIXNIGHT</t>
        </is>
      </c>
      <c r="D6" s="3" t="n">
        <v>31</v>
      </c>
      <c r="E6" s="3" t="n">
        <v>1000</v>
      </c>
      <c r="F6" s="6" t="n">
        <v>151.68</v>
      </c>
      <c r="G6" s="6" t="n">
        <v>110.84</v>
      </c>
      <c r="H6" s="6" t="n">
        <v>12.67</v>
      </c>
      <c r="I6" s="6" t="n">
        <v>275.19</v>
      </c>
      <c r="J6" s="6">
        <f>'Market_Offers'!J4*31/30 + IF('Market_Offers'!H4&gt;0,(740*'Market_Offers'!G4+260*'Market_Offers'!H4),1000*'Market_Offers'!G4)*(1-'Market_Offers'!K4)</f>
        <v/>
      </c>
      <c r="K6" s="6">
        <f>0.06*(J6+59.55)</f>
        <v/>
      </c>
      <c r="L6" s="6">
        <f>110.84+J6+K6</f>
        <v/>
      </c>
      <c r="M6" s="6">
        <f>I6-L6</f>
        <v/>
      </c>
      <c r="N6" s="5">
        <f>IF(I6=0,0,M6/I6)</f>
        <v/>
      </c>
    </row>
    <row r="7">
      <c r="A7" s="3" t="inlineStr">
        <is>
          <t>demo_d2_apr</t>
        </is>
      </c>
      <c r="B7" s="3" t="inlineStr">
        <is>
          <t>D2</t>
        </is>
      </c>
      <c r="C7" s="3" t="inlineStr">
        <is>
          <t>OFF_ZEROPAGIO</t>
        </is>
      </c>
      <c r="D7" s="3" t="n">
        <v>30</v>
      </c>
      <c r="E7" s="3" t="n">
        <v>285</v>
      </c>
      <c r="F7" s="6" t="n">
        <v>50.25</v>
      </c>
      <c r="G7" s="6" t="n">
        <v>23.98</v>
      </c>
      <c r="H7" s="6" t="n">
        <v>3.96</v>
      </c>
      <c r="I7" s="6" t="n">
        <v>78.19</v>
      </c>
      <c r="J7" s="6">
        <f>'Market_Offers'!J6*30/30 + IF('Market_Offers'!H6&gt;0,(285*'Market_Offers'!G6+0*'Market_Offers'!H6),285*'Market_Offers'!G6)*(1-'Market_Offers'!K6)</f>
        <v/>
      </c>
      <c r="K7" s="6">
        <f>0.06*(J7+15.80)</f>
        <v/>
      </c>
      <c r="L7" s="6">
        <f>23.98+J7+K7</f>
        <v/>
      </c>
      <c r="M7" s="6">
        <f>I7-L7</f>
        <v/>
      </c>
      <c r="N7" s="5">
        <f>IF(I7=0,0,M7/I7)</f>
        <v/>
      </c>
    </row>
    <row r="8">
      <c r="A8" s="3" t="inlineStr">
        <is>
          <t>demo_d2_may</t>
        </is>
      </c>
      <c r="B8" s="3" t="inlineStr">
        <is>
          <t>D2</t>
        </is>
      </c>
      <c r="C8" s="3" t="inlineStr">
        <is>
          <t>OFF_ZEROPAGIO</t>
        </is>
      </c>
      <c r="D8" s="3" t="n">
        <v>31</v>
      </c>
      <c r="E8" s="3" t="n">
        <v>300</v>
      </c>
      <c r="F8" s="6" t="n">
        <v>52.6</v>
      </c>
      <c r="G8" s="6" t="n">
        <v>25.05</v>
      </c>
      <c r="H8" s="6" t="n">
        <v>4.15</v>
      </c>
      <c r="I8" s="6" t="n">
        <v>81.8</v>
      </c>
      <c r="J8" s="6">
        <f>'Market_Offers'!J6*31/30 + IF('Market_Offers'!H6&gt;0,(300*'Market_Offers'!G6+0*'Market_Offers'!H6),300*'Market_Offers'!G6)*(1-'Market_Offers'!K6)</f>
        <v/>
      </c>
      <c r="K8" s="6">
        <f>0.06*(J8+16.55)</f>
        <v/>
      </c>
      <c r="L8" s="6">
        <f>25.05+J8+K8</f>
        <v/>
      </c>
      <c r="M8" s="6">
        <f>I8-L8</f>
        <v/>
      </c>
      <c r="N8" s="5">
        <f>IF(I8=0,0,M8/I8)</f>
        <v/>
      </c>
    </row>
    <row r="9">
      <c r="A9" s="3" t="inlineStr">
        <is>
          <t>demo_d3_apr</t>
        </is>
      </c>
      <c r="B9" s="3" t="inlineStr">
        <is>
          <t>D3</t>
        </is>
      </c>
      <c r="C9" s="3" t="inlineStr">
        <is>
          <t>OFF_BUSSAVER</t>
        </is>
      </c>
      <c r="D9" s="3" t="n">
        <v>30</v>
      </c>
      <c r="E9" s="3" t="n">
        <v>680</v>
      </c>
      <c r="F9" s="6" t="n">
        <v>119.74</v>
      </c>
      <c r="G9" s="6" t="n">
        <v>55.71</v>
      </c>
      <c r="H9" s="6" t="n">
        <v>10.37</v>
      </c>
      <c r="I9" s="6" t="n">
        <v>185.82</v>
      </c>
      <c r="J9" s="6">
        <f>'Market_Offers'!J10*30/30 + IF('Market_Offers'!H10&gt;0,(680*'Market_Offers'!G10+0*'Market_Offers'!H10),680*'Market_Offers'!G10)*(1-'Market_Offers'!K10)</f>
        <v/>
      </c>
      <c r="K9" s="6">
        <f>0.06*(J9+53.14)</f>
        <v/>
      </c>
      <c r="L9" s="6">
        <f>55.71+J9+K9</f>
        <v/>
      </c>
      <c r="M9" s="6">
        <f>I9-L9</f>
        <v/>
      </c>
      <c r="N9" s="5">
        <f>IF(I9=0,0,M9/I9)</f>
        <v/>
      </c>
    </row>
    <row r="10">
      <c r="A10" s="3" t="inlineStr">
        <is>
          <t>demo_d3_may</t>
        </is>
      </c>
      <c r="B10" s="3" t="inlineStr">
        <is>
          <t>D3</t>
        </is>
      </c>
      <c r="C10" s="3" t="inlineStr">
        <is>
          <t>OFF_BUSSAVER</t>
        </is>
      </c>
      <c r="D10" s="3" t="n">
        <v>31</v>
      </c>
      <c r="E10" s="3" t="n">
        <v>720</v>
      </c>
      <c r="F10" s="6" t="n">
        <v>126.46</v>
      </c>
      <c r="G10" s="6" t="n">
        <v>58.38</v>
      </c>
      <c r="H10" s="6" t="n">
        <v>10.93</v>
      </c>
      <c r="I10" s="6" t="n">
        <v>195.77</v>
      </c>
      <c r="J10" s="6">
        <f>'Market_Offers'!J10*31/30 + IF('Market_Offers'!H10&gt;0,(720*'Market_Offers'!G10+0*'Market_Offers'!H10),720*'Market_Offers'!G10)*(1-'Market_Offers'!K10)</f>
        <v/>
      </c>
      <c r="K10" s="6">
        <f>0.06*(J10+55.68)</f>
        <v/>
      </c>
      <c r="L10" s="6">
        <f>58.38+J10+K10</f>
        <v/>
      </c>
      <c r="M10" s="6">
        <f>I10-L10</f>
        <v/>
      </c>
      <c r="N10" s="5">
        <f>IF(I10=0,0,M10/I10)</f>
        <v/>
      </c>
    </row>
    <row r="11">
      <c r="A11" s="7" t="inlineStr">
        <is>
          <t>TOTAL</t>
        </is>
      </c>
      <c r="E11" s="7">
        <f>SUM(E5:E10)</f>
        <v/>
      </c>
      <c r="F11" s="8">
        <f>SUM(F5:F10)</f>
        <v/>
      </c>
      <c r="G11" s="8">
        <f>SUM(G5:G10)</f>
        <v/>
      </c>
      <c r="H11" s="8">
        <f>SUM(H5:H10)</f>
        <v/>
      </c>
      <c r="I11" s="8">
        <f>SUM(I5:I10)</f>
        <v/>
      </c>
      <c r="J11" s="8">
        <f>SUM(J5:J10)</f>
        <v/>
      </c>
      <c r="K11" s="8">
        <f>SUM(K5:K10)</f>
        <v/>
      </c>
      <c r="L11" s="8">
        <f>SUM(L5:L10)</f>
        <v/>
      </c>
      <c r="M11" s="8">
        <f>SUM(M5:M10)</f>
        <v/>
      </c>
      <c r="N11" s="17">
        <f>M11/I11</f>
        <v/>
      </c>
    </row>
    <row r="13">
      <c r="A13" s="18" t="inlineStr">
        <is>
          <t>Per-supply summary (current-period samples)</t>
        </is>
      </c>
    </row>
    <row r="14">
      <c r="A14" s="2" t="inlineStr">
        <is>
          <t>Supply</t>
        </is>
      </c>
      <c r="B14" s="2" t="inlineStr">
        <is>
          <t>Provider now</t>
        </is>
      </c>
      <c r="C14" s="2" t="inlineStr">
        <is>
          <t>Rec. offer</t>
        </is>
      </c>
      <c r="D14" s="2" t="inlineStr">
        <is>
          <t>Actual total €</t>
        </is>
      </c>
      <c r="E14" s="2" t="inlineStr">
        <is>
          <t>New total €</t>
        </is>
      </c>
      <c r="F14" s="2" t="inlineStr">
        <is>
          <t>Saving €</t>
        </is>
      </c>
      <c r="G14" s="2" t="inlineStr">
        <is>
          <t>Saving %</t>
        </is>
      </c>
    </row>
    <row r="15">
      <c r="A15" s="19" t="inlineStr">
        <is>
          <t>D1</t>
        </is>
      </c>
      <c r="B15" s="19" t="inlineStr">
        <is>
          <t>Provider-A</t>
        </is>
      </c>
      <c r="C15" s="19" t="inlineStr">
        <is>
          <t>OFF_FIXNIGHT</t>
        </is>
      </c>
      <c r="D15" s="20">
        <f>I5+I6</f>
        <v/>
      </c>
      <c r="E15" s="20">
        <f>L5+L6</f>
        <v/>
      </c>
      <c r="F15" s="20">
        <f>D15-E15</f>
        <v/>
      </c>
      <c r="G15" s="21">
        <f>F15/D15</f>
        <v/>
      </c>
    </row>
    <row r="16">
      <c r="A16" s="3" t="inlineStr">
        <is>
          <t>D2</t>
        </is>
      </c>
      <c r="B16" s="3" t="inlineStr">
        <is>
          <t>Provider-B</t>
        </is>
      </c>
      <c r="C16" s="3" t="inlineStr">
        <is>
          <t>OFF_ZEROPAGIO</t>
        </is>
      </c>
      <c r="D16" s="6">
        <f>I7+I8</f>
        <v/>
      </c>
      <c r="E16" s="6">
        <f>L7+L8</f>
        <v/>
      </c>
      <c r="F16" s="6">
        <f>D16-E16</f>
        <v/>
      </c>
      <c r="G16" s="5">
        <f>F16/D16</f>
        <v/>
      </c>
    </row>
    <row r="17">
      <c r="A17" s="3" t="inlineStr">
        <is>
          <t>D3</t>
        </is>
      </c>
      <c r="B17" s="3" t="inlineStr">
        <is>
          <t>Provider-B</t>
        </is>
      </c>
      <c r="C17" s="3" t="inlineStr">
        <is>
          <t>OFF_BUSSAVER</t>
        </is>
      </c>
      <c r="D17" s="6">
        <f>I9+I10</f>
        <v/>
      </c>
      <c r="E17" s="6">
        <f>L9+L10</f>
        <v/>
      </c>
      <c r="F17" s="6">
        <f>D17-E17</f>
        <v/>
      </c>
      <c r="G17" s="5">
        <f>F17/D17</f>
        <v/>
      </c>
    </row>
  </sheetData>
  <mergeCells count="1"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18" customWidth="1" min="4" max="4"/>
    <col width="11" customWidth="1" min="5" max="5"/>
    <col width="18" customWidth="1" min="6" max="6"/>
    <col width="11" customWidth="1" min="7" max="7"/>
    <col width="10" customWidth="1" min="8" max="8"/>
  </cols>
  <sheetData>
    <row r="1">
      <c r="A1" s="1" t="inlineStr">
        <is>
          <t>Tier_Ranking — decide commit-to-a-price vs follow-the-market FIRST, then compare within the tier</t>
        </is>
      </c>
    </row>
    <row r="2">
      <c r="A2" s="9" t="inlineStr">
        <is>
          <t>Floating, 1-year fixed and multi-year fixed are different RISK products, not one price line. Per supply, offers are grouped by commitment tier and ranked cheapest-first WITHIN each tier (computed on the sampled bills; re-run the builder after editing Market_Offers). Weigh the fixed term: a long lock in a volatile market is opportunity risk + an exit fee, not free certainty. Cheapest in each tier is highlighted.</t>
        </is>
      </c>
    </row>
    <row r="4">
      <c r="A4" s="18" t="inlineStr">
        <is>
          <t>D1 — DEMO — Main residence (night tariff)  ·  current actual (sample): €538.07</t>
        </is>
      </c>
    </row>
    <row r="5">
      <c r="A5" s="2" t="inlineStr">
        <is>
          <t>Offer</t>
        </is>
      </c>
      <c r="B5" s="2" t="inlineStr">
        <is>
          <t>Provider</t>
        </is>
      </c>
      <c r="C5" s="2" t="inlineStr">
        <is>
          <t>Color</t>
        </is>
      </c>
      <c r="D5" s="2" t="inlineStr">
        <is>
          <t>Term</t>
        </is>
      </c>
      <c r="E5" s="2" t="inlineStr">
        <is>
          <t>Eff. €/kWh</t>
        </is>
      </c>
      <c r="F5" s="2" t="inlineStr">
        <is>
          <t>New total (sample) €</t>
        </is>
      </c>
      <c r="G5" s="2" t="inlineStr">
        <is>
          <t>Saving €</t>
        </is>
      </c>
      <c r="H5" s="2" t="inlineStr">
        <is>
          <t>Saving %</t>
        </is>
      </c>
    </row>
    <row r="6">
      <c r="A6" s="22" t="inlineStr">
        <is>
          <t>Floating — follow the market</t>
        </is>
      </c>
      <c r="B6" s="23" t="n"/>
      <c r="C6" s="23" t="n"/>
      <c r="D6" s="23" t="n"/>
      <c r="E6" s="23" t="n"/>
      <c r="F6" s="23" t="n"/>
      <c r="G6" s="23" t="n"/>
      <c r="H6" s="23" t="n"/>
    </row>
    <row r="7">
      <c r="A7" s="24" t="inlineStr">
        <is>
          <t>Floating Night (demo)</t>
        </is>
      </c>
      <c r="B7" s="24" t="inlineStr">
        <is>
          <t>Provider-C</t>
        </is>
      </c>
      <c r="C7" s="24" t="inlineStr">
        <is>
          <t>Yellow</t>
        </is>
      </c>
      <c r="D7" s="24" t="inlineStr">
        <is>
          <t>none</t>
        </is>
      </c>
      <c r="E7" s="25" t="n">
        <v>0.1133</v>
      </c>
      <c r="F7" s="26" t="n">
        <v>463.95</v>
      </c>
      <c r="G7" s="26" t="n">
        <v>74.12</v>
      </c>
      <c r="H7" s="27" t="n">
        <v>0.1377538858017234</v>
      </c>
    </row>
    <row r="8">
      <c r="A8" s="10" t="inlineStr">
        <is>
          <t>Cost+ Home (demo)</t>
        </is>
      </c>
      <c r="B8" s="10" t="inlineStr">
        <is>
          <t>Provider-C</t>
        </is>
      </c>
      <c r="C8" s="10" t="inlineStr">
        <is>
          <t>Yellow</t>
        </is>
      </c>
      <c r="D8" s="10" t="inlineStr">
        <is>
          <t>none</t>
        </is>
      </c>
      <c r="E8" s="15" t="n">
        <v>0.122</v>
      </c>
      <c r="F8" s="12" t="n">
        <v>491.86</v>
      </c>
      <c r="G8" s="12" t="n">
        <v>46.21</v>
      </c>
      <c r="H8" s="16" t="n">
        <v>0.08587383302048664</v>
      </c>
    </row>
    <row r="9">
      <c r="A9" s="10" t="inlineStr">
        <is>
          <t>Zero-Paygio Home (demo)</t>
        </is>
      </c>
      <c r="B9" s="10" t="inlineStr">
        <is>
          <t>Provider-D</t>
        </is>
      </c>
      <c r="C9" s="10" t="inlineStr">
        <is>
          <t>Yellow</t>
        </is>
      </c>
      <c r="D9" s="10" t="inlineStr">
        <is>
          <t>none</t>
        </is>
      </c>
      <c r="E9" s="15" t="n">
        <v>0.134</v>
      </c>
      <c r="F9" s="12" t="n">
        <v>501.37</v>
      </c>
      <c r="G9" s="12" t="n">
        <v>36.7</v>
      </c>
      <c r="H9" s="16" t="n">
        <v>0.06821603137138278</v>
      </c>
    </row>
    <row r="10">
      <c r="A10" s="22" t="inlineStr">
        <is>
          <t>Fixed ≤ 12 months</t>
        </is>
      </c>
      <c r="B10" s="23" t="n"/>
      <c r="C10" s="23" t="n"/>
      <c r="D10" s="23" t="n"/>
      <c r="E10" s="23" t="n"/>
      <c r="F10" s="23" t="n"/>
      <c r="G10" s="23" t="n"/>
      <c r="H10" s="23" t="n"/>
    </row>
    <row r="11">
      <c r="A11" s="24" t="inlineStr">
        <is>
          <t>Fixed Home 12M (demo)</t>
        </is>
      </c>
      <c r="B11" s="24" t="inlineStr">
        <is>
          <t>Provider-E</t>
        </is>
      </c>
      <c r="C11" s="24" t="inlineStr">
        <is>
          <t>Blue</t>
        </is>
      </c>
      <c r="D11" s="24" t="inlineStr">
        <is>
          <t>12 months fixed</t>
        </is>
      </c>
      <c r="E11" s="25" t="n">
        <v>0.139</v>
      </c>
      <c r="F11" s="26" t="n">
        <v>533.04</v>
      </c>
      <c r="G11" s="26" t="n">
        <v>5.03</v>
      </c>
      <c r="H11" s="27" t="n">
        <v>0.009352314754585605</v>
      </c>
    </row>
    <row r="12">
      <c r="A12" s="22" t="inlineStr">
        <is>
          <t>Fixed 13–24 months</t>
        </is>
      </c>
      <c r="B12" s="23" t="n"/>
      <c r="C12" s="23" t="n"/>
      <c r="D12" s="23" t="n"/>
      <c r="E12" s="23" t="n"/>
      <c r="F12" s="23" t="n"/>
      <c r="G12" s="23" t="n"/>
      <c r="H12" s="23" t="n"/>
    </row>
    <row r="13">
      <c r="A13" s="24" t="inlineStr">
        <is>
          <t>Fixed Night 24M (demo)</t>
        </is>
      </c>
      <c r="B13" s="24" t="inlineStr">
        <is>
          <t>Provider-A</t>
        </is>
      </c>
      <c r="C13" s="24" t="inlineStr">
        <is>
          <t>Blue</t>
        </is>
      </c>
      <c r="D13" s="24" t="inlineStr">
        <is>
          <t>24 months fixed</t>
        </is>
      </c>
      <c r="E13" s="25" t="n">
        <v>0.145</v>
      </c>
      <c r="F13" s="26" t="n">
        <v>521.88</v>
      </c>
      <c r="G13" s="26" t="n">
        <v>16.19</v>
      </c>
      <c r="H13" s="27" t="n">
        <v>0.03009645585146907</v>
      </c>
    </row>
    <row r="15">
      <c r="A15" s="18" t="inlineStr">
        <is>
          <t>D2 — DEMO — Apartment  ·  current actual (sample): €159.99</t>
        </is>
      </c>
    </row>
    <row r="16">
      <c r="A16" s="2" t="inlineStr">
        <is>
          <t>Offer</t>
        </is>
      </c>
      <c r="B16" s="2" t="inlineStr">
        <is>
          <t>Provider</t>
        </is>
      </c>
      <c r="C16" s="2" t="inlineStr">
        <is>
          <t>Color</t>
        </is>
      </c>
      <c r="D16" s="2" t="inlineStr">
        <is>
          <t>Term</t>
        </is>
      </c>
      <c r="E16" s="2" t="inlineStr">
        <is>
          <t>Eff. €/kWh</t>
        </is>
      </c>
      <c r="F16" s="2" t="inlineStr">
        <is>
          <t>New total (sample) €</t>
        </is>
      </c>
      <c r="G16" s="2" t="inlineStr">
        <is>
          <t>Saving €</t>
        </is>
      </c>
      <c r="H16" s="2" t="inlineStr">
        <is>
          <t>Saving %</t>
        </is>
      </c>
    </row>
    <row r="17">
      <c r="A17" s="22" t="inlineStr">
        <is>
          <t>Floating — follow the market</t>
        </is>
      </c>
      <c r="B17" s="23" t="n"/>
      <c r="C17" s="23" t="n"/>
      <c r="D17" s="23" t="n"/>
      <c r="E17" s="23" t="n"/>
      <c r="F17" s="23" t="n"/>
      <c r="G17" s="23" t="n"/>
      <c r="H17" s="23" t="n"/>
    </row>
    <row r="18">
      <c r="A18" s="24" t="inlineStr">
        <is>
          <t>Zero-Paygio Home (demo)</t>
        </is>
      </c>
      <c r="B18" s="24" t="inlineStr">
        <is>
          <t>Provider-D</t>
        </is>
      </c>
      <c r="C18" s="24" t="inlineStr">
        <is>
          <t>Yellow</t>
        </is>
      </c>
      <c r="D18" s="24" t="inlineStr">
        <is>
          <t>none</t>
        </is>
      </c>
      <c r="E18" s="25" t="n">
        <v>0.134</v>
      </c>
      <c r="F18" s="26" t="n">
        <v>134.06</v>
      </c>
      <c r="G18" s="26" t="n">
        <v>25.93</v>
      </c>
      <c r="H18" s="27" t="n">
        <v>0.1620451278204888</v>
      </c>
    </row>
    <row r="19">
      <c r="A19" s="10" t="inlineStr">
        <is>
          <t>Cost+ Home (demo)</t>
        </is>
      </c>
      <c r="B19" s="10" t="inlineStr">
        <is>
          <t>Provider-C</t>
        </is>
      </c>
      <c r="C19" s="10" t="inlineStr">
        <is>
          <t>Yellow</t>
        </is>
      </c>
      <c r="D19" s="10" t="inlineStr">
        <is>
          <t>none</t>
        </is>
      </c>
      <c r="E19" s="15" t="n">
        <v>0.122</v>
      </c>
      <c r="F19" s="12" t="n">
        <v>141.93</v>
      </c>
      <c r="G19" s="12" t="n">
        <v>18.06</v>
      </c>
      <c r="H19" s="16" t="n">
        <v>0.1129066399983333</v>
      </c>
    </row>
    <row r="20">
      <c r="A20" s="22" t="inlineStr">
        <is>
          <t>Fixed ≤ 12 months</t>
        </is>
      </c>
      <c r="B20" s="23" t="n"/>
      <c r="C20" s="23" t="n"/>
      <c r="D20" s="23" t="n"/>
      <c r="E20" s="23" t="n"/>
      <c r="F20" s="23" t="n"/>
      <c r="G20" s="23" t="n"/>
      <c r="H20" s="23" t="n"/>
    </row>
    <row r="21">
      <c r="A21" s="24" t="inlineStr">
        <is>
          <t>Fixed Home 12M (demo)</t>
        </is>
      </c>
      <c r="B21" s="24" t="inlineStr">
        <is>
          <t>Provider-E</t>
        </is>
      </c>
      <c r="C21" s="24" t="inlineStr">
        <is>
          <t>Blue</t>
        </is>
      </c>
      <c r="D21" s="24" t="inlineStr">
        <is>
          <t>12 months fixed</t>
        </is>
      </c>
      <c r="E21" s="25" t="n">
        <v>0.139</v>
      </c>
      <c r="F21" s="26" t="n">
        <v>158.5</v>
      </c>
      <c r="G21" s="26" t="n">
        <v>1.49</v>
      </c>
      <c r="H21" s="27" t="n">
        <v>0.009296206012875834</v>
      </c>
    </row>
    <row r="23">
      <c r="A23" s="18" t="inlineStr">
        <is>
          <t>D3 — DEMO — Building common areas  ·  current actual (sample): €381.59</t>
        </is>
      </c>
    </row>
    <row r="24">
      <c r="A24" s="2" t="inlineStr">
        <is>
          <t>Offer</t>
        </is>
      </c>
      <c r="B24" s="2" t="inlineStr">
        <is>
          <t>Provider</t>
        </is>
      </c>
      <c r="C24" s="2" t="inlineStr">
        <is>
          <t>Color</t>
        </is>
      </c>
      <c r="D24" s="2" t="inlineStr">
        <is>
          <t>Term</t>
        </is>
      </c>
      <c r="E24" s="2" t="inlineStr">
        <is>
          <t>Eff. €/kWh</t>
        </is>
      </c>
      <c r="F24" s="2" t="inlineStr">
        <is>
          <t>New total (sample) €</t>
        </is>
      </c>
      <c r="G24" s="2" t="inlineStr">
        <is>
          <t>Saving €</t>
        </is>
      </c>
      <c r="H24" s="2" t="inlineStr">
        <is>
          <t>Saving %</t>
        </is>
      </c>
    </row>
    <row r="25">
      <c r="A25" s="22" t="inlineStr">
        <is>
          <t>Floating — follow the market</t>
        </is>
      </c>
      <c r="B25" s="23" t="n"/>
      <c r="C25" s="23" t="n"/>
      <c r="D25" s="23" t="n"/>
      <c r="E25" s="23" t="n"/>
      <c r="F25" s="23" t="n"/>
      <c r="G25" s="23" t="n"/>
      <c r="H25" s="23" t="n"/>
    </row>
    <row r="26">
      <c r="A26" s="24" t="inlineStr">
        <is>
          <t>Business Green (demo)</t>
        </is>
      </c>
      <c r="B26" s="24" t="inlineStr">
        <is>
          <t>Provider-D</t>
        </is>
      </c>
      <c r="C26" s="24" t="inlineStr">
        <is>
          <t>Green</t>
        </is>
      </c>
      <c r="D26" s="24" t="inlineStr">
        <is>
          <t>none</t>
        </is>
      </c>
      <c r="E26" s="25" t="n">
        <v>0.118</v>
      </c>
      <c r="F26" s="26" t="n">
        <v>295.73</v>
      </c>
      <c r="G26" s="26" t="n">
        <v>85.86</v>
      </c>
      <c r="H26" s="27" t="n">
        <v>0.2250027516444352</v>
      </c>
    </row>
    <row r="27">
      <c r="A27" s="10" t="inlineStr">
        <is>
          <t>Business Saver (demo)</t>
        </is>
      </c>
      <c r="B27" s="10" t="inlineStr">
        <is>
          <t>Provider-B</t>
        </is>
      </c>
      <c r="C27" s="10" t="inlineStr">
        <is>
          <t>Yellow</t>
        </is>
      </c>
      <c r="D27" s="10" t="inlineStr">
        <is>
          <t>none</t>
        </is>
      </c>
      <c r="E27" s="15" t="n">
        <v>0.133</v>
      </c>
      <c r="F27" s="12" t="n">
        <v>329.85</v>
      </c>
      <c r="G27" s="12" t="n">
        <v>51.74</v>
      </c>
      <c r="H27" s="16" t="n">
        <v>0.1356022607161263</v>
      </c>
    </row>
    <row r="28">
      <c r="A28" s="22" t="inlineStr">
        <is>
          <t>Fixed ≤ 12 months</t>
        </is>
      </c>
      <c r="B28" s="23" t="n"/>
      <c r="C28" s="23" t="n"/>
      <c r="D28" s="23" t="n"/>
      <c r="E28" s="23" t="n"/>
      <c r="F28" s="23" t="n"/>
      <c r="G28" s="23" t="n"/>
      <c r="H28" s="23" t="n"/>
    </row>
    <row r="29">
      <c r="A29" s="24" t="inlineStr">
        <is>
          <t>Business Fixed 12M (demo)</t>
        </is>
      </c>
      <c r="B29" s="24" t="inlineStr">
        <is>
          <t>Provider-E</t>
        </is>
      </c>
      <c r="C29" s="24" t="inlineStr">
        <is>
          <t>Blue</t>
        </is>
      </c>
      <c r="D29" s="24" t="inlineStr">
        <is>
          <t>12 months fixed</t>
        </is>
      </c>
      <c r="E29" s="25" t="n">
        <v>0.17</v>
      </c>
      <c r="F29" s="26" t="n">
        <v>402.86</v>
      </c>
      <c r="G29" s="26" t="n">
        <v>-21.27</v>
      </c>
      <c r="H29" s="27" t="n">
        <v>-0.05573608672484439</v>
      </c>
    </row>
  </sheetData>
  <mergeCells count="11">
    <mergeCell ref="A12:H12"/>
    <mergeCell ref="A4:H4"/>
    <mergeCell ref="A15:H15"/>
    <mergeCell ref="A25:H25"/>
    <mergeCell ref="A20:H20"/>
    <mergeCell ref="A2:H2"/>
    <mergeCell ref="A10:H10"/>
    <mergeCell ref="A28:H28"/>
    <mergeCell ref="A23:H23"/>
    <mergeCell ref="A6:H6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9" customWidth="1" min="3" max="3"/>
    <col width="26" customWidth="1" min="4" max="4"/>
    <col width="28" customWidth="1" min="5" max="5"/>
    <col width="50" customWidth="1" min="6" max="6"/>
    <col width="16" customWidth="1" min="7" max="7"/>
    <col width="40" customWidth="1" min="8" max="8"/>
  </cols>
  <sheetData>
    <row r="1">
      <c r="A1" s="1" t="inlineStr">
        <is>
          <t>Recommendation — best move per supply</t>
        </is>
      </c>
    </row>
    <row r="3">
      <c r="A3" s="2" t="inlineStr">
        <is>
          <t>Supply</t>
        </is>
      </c>
      <c r="B3" s="2" t="inlineStr">
        <is>
          <t>Property</t>
        </is>
      </c>
      <c r="C3" s="2" t="inlineStr">
        <is>
          <t>Priority</t>
        </is>
      </c>
      <c r="D3" s="2" t="inlineStr">
        <is>
          <t>Provider now → product</t>
        </is>
      </c>
      <c r="E3" s="2" t="inlineStr">
        <is>
          <t>Recommended → product</t>
        </is>
      </c>
      <c r="F3" s="2" t="inlineStr">
        <is>
          <t>Why</t>
        </is>
      </c>
      <c r="G3" s="2" t="inlineStr">
        <is>
          <t>Est. monthly saving €</t>
        </is>
      </c>
      <c r="H3" s="2" t="inlineStr">
        <is>
          <t>Action</t>
        </is>
      </c>
    </row>
    <row r="4">
      <c r="A4" s="10" t="inlineStr">
        <is>
          <t>D1</t>
        </is>
      </c>
      <c r="B4" s="10" t="inlineStr">
        <is>
          <t>DEMO — Main residence (night tariff)</t>
        </is>
      </c>
      <c r="C4" s="11" t="inlineStr">
        <is>
          <t>HIGH</t>
        </is>
      </c>
      <c r="D4" s="10" t="inlineStr">
        <is>
          <t>Provider-A → Night Floating (demo)</t>
        </is>
      </c>
      <c r="E4" s="10" t="inlineStr">
        <is>
          <t>Provider-A → Fixed Night 24M (demo)</t>
        </is>
      </c>
      <c r="F4" s="10" t="inlineStr">
        <is>
          <t>Main residence on a floating night tariff (effective ~0.155 day / ~0.123 night). A FIXED dual-zone product (day 0.145 / night 0.105) is lower on both registers and removes the monthly-reset risk — the conservative pick for the priority contract. A floating dual-zone (Provider-C, day 0.1133 / night 0.1033) would save more but reintroduces price risk.</t>
        </is>
      </c>
      <c r="G4" s="10" t="inlineStr"/>
      <c r="H4" s="10" t="inlineStr">
        <is>
          <t>Switch to a fixed dual-zone tariff; keep the night meter. (Demo.)</t>
        </is>
      </c>
    </row>
    <row r="5">
      <c r="A5" s="10" t="inlineStr">
        <is>
          <t>D2</t>
        </is>
      </c>
      <c r="B5" s="10" t="inlineStr">
        <is>
          <t>DEMO — Apartment</t>
        </is>
      </c>
      <c r="C5" s="10" t="inlineStr">
        <is>
          <t>medium</t>
        </is>
      </c>
      <c r="D5" s="10" t="inlineStr">
        <is>
          <t>Provider-B → Home Floating (demo)</t>
        </is>
      </c>
      <c r="E5" s="10" t="inlineStr">
        <is>
          <t>Provider-D → Zero-Paygio Home (demo)</t>
        </is>
      </c>
      <c r="F5" s="10" t="inlineStr">
        <is>
          <t>Apartment at ~280 kWh/month — low enough that the standing charge dominates, so a ZERO-paygio plan wins even at a slightly higher rate. Beats a low-rate/high-paygio fixed plan here.</t>
        </is>
      </c>
      <c r="G5" s="10" t="inlineStr"/>
      <c r="H5" s="10" t="inlineStr">
        <is>
          <t>Switch to a zero-paygio floating plan. (Demo.)</t>
        </is>
      </c>
    </row>
    <row r="6">
      <c r="A6" s="10" t="inlineStr">
        <is>
          <t>D3</t>
        </is>
      </c>
      <c r="B6" s="10" t="inlineStr">
        <is>
          <t>DEMO — Building common areas</t>
        </is>
      </c>
      <c r="C6" s="10" t="inlineStr">
        <is>
          <t>medium</t>
        </is>
      </c>
      <c r="D6" s="10" t="inlineStr">
        <is>
          <t>Provider-B → Business Floating (demo)</t>
        </is>
      </c>
      <c r="E6" s="10" t="inlineStr">
        <is>
          <t>Provider-B → Business Saver (demo)</t>
        </is>
      </c>
      <c r="F6" s="10" t="inlineStr">
        <is>
          <t>Common areas (business, 25 kVA) on an expensive floating product (~0.168). A cheaper business floating (~0.133) saves materially. A non-incumbent low-margin business green (~0.118, zero paygio) would save even more — but only IF it accepts a koinochrista meter; confirm before choosing it. A fixed business product here (~0.17) is NOT cheaper than the floating you already have.</t>
        </is>
      </c>
      <c r="G6" s="10" t="inlineStr"/>
      <c r="H6" s="10" t="inlineStr">
        <is>
          <t>Switch to a cheaper business floating; chase the zero-paygio business green only if it accepts your common-area meter. (Demo.)</t>
        </is>
      </c>
    </row>
    <row r="9">
      <c r="A9" s="28" t="inlineStr">
        <is>
          <t>Overall expected savings: see Backtest TOTAL row. Headline figures are summarised in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2026-06-24T10:33:07Z</dcterms:created>
  <dcterms:modified xsi:type="dcterms:W3CDTF">2026-06-24T10:33:07Z</dcterms:modified>
</cp:coreProperties>
</file>